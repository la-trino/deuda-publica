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aa1ff112bd5f3a/Desktop/GitHub/deuda-publica/investigacion/Bases/bruto/"/>
    </mc:Choice>
  </mc:AlternateContent>
  <xr:revisionPtr revIDLastSave="59" documentId="8_{4B2D8B45-F07E-4910-9510-2BBBAEE14AA5}" xr6:coauthVersionLast="47" xr6:coauthVersionMax="47" xr10:uidLastSave="{0622C148-140B-4D8E-8DB8-D76B232BAC3F}"/>
  <bookViews>
    <workbookView xWindow="-110" yWindow="-110" windowWidth="19420" windowHeight="11020" activeTab="1" xr2:uid="{2D8852EA-F075-4C4B-A4C1-A0C97F97AC06}"/>
  </bookViews>
  <sheets>
    <sheet name="hoja-bruta" sheetId="1" r:id="rId1"/>
    <sheet name="export-cs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G19" i="1"/>
  <c r="G20" i="1"/>
  <c r="G21" i="1"/>
  <c r="G22" i="1"/>
  <c r="G14" i="1"/>
  <c r="G15" i="1"/>
  <c r="G16" i="1"/>
  <c r="G17" i="1"/>
  <c r="G18" i="1"/>
  <c r="G13" i="1"/>
  <c r="G3" i="1"/>
  <c r="G4" i="1"/>
  <c r="G5" i="1"/>
  <c r="G6" i="1"/>
  <c r="G7" i="1"/>
  <c r="G8" i="1"/>
  <c r="G9" i="1"/>
  <c r="G10" i="1"/>
  <c r="G11" i="1"/>
  <c r="G12" i="1"/>
  <c r="G2" i="1"/>
  <c r="J3" i="1"/>
  <c r="J2" i="1"/>
</calcChain>
</file>

<file path=xl/sharedStrings.xml><?xml version="1.0" encoding="utf-8"?>
<sst xmlns="http://schemas.openxmlformats.org/spreadsheetml/2006/main" count="50" uniqueCount="30">
  <si>
    <t>ingreso</t>
  </si>
  <si>
    <t>clasificacion-economica</t>
  </si>
  <si>
    <t>subtitulo</t>
  </si>
  <si>
    <t>tipo-movimiento</t>
  </si>
  <si>
    <t>gasto</t>
  </si>
  <si>
    <t>total-bruto</t>
  </si>
  <si>
    <t>transferencias</t>
  </si>
  <si>
    <t>total</t>
  </si>
  <si>
    <t>impuestos</t>
  </si>
  <si>
    <t>transferencias corrientes</t>
  </si>
  <si>
    <t>rentas de la propiedadd</t>
  </si>
  <si>
    <t>ingresos de operacion</t>
  </si>
  <si>
    <t>otros ingresos corrientes</t>
  </si>
  <si>
    <t>enta de activos no financieros</t>
  </si>
  <si>
    <t>venta de activos financieros</t>
  </si>
  <si>
    <t>recuperacion de prestamos</t>
  </si>
  <si>
    <t>transferencias para gastos de capital</t>
  </si>
  <si>
    <t>saldo inicial de caja</t>
  </si>
  <si>
    <t>endeudamiento</t>
  </si>
  <si>
    <t>bienes y servicios de consumo</t>
  </si>
  <si>
    <t>prestaciones de seguridad social</t>
  </si>
  <si>
    <t>otros gastos corrientes</t>
  </si>
  <si>
    <t>aporte fiscal libre</t>
  </si>
  <si>
    <t>aporte fiscal para servicio de la deuda</t>
  </si>
  <si>
    <t>adquisicion de activos financieros</t>
  </si>
  <si>
    <t>transferencias de capital</t>
  </si>
  <si>
    <t>servicio de la deuda</t>
  </si>
  <si>
    <t>saldo final de caja</t>
  </si>
  <si>
    <t>porcentaje</t>
  </si>
  <si>
    <t>total-mm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</si>
</sst>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" fontId="0" fillId="0" borderId="0" xfId="0" applyNumberFormat="1" applyAlignment="1">
      <alignment horizontal="left"/>
    </xf>
    <xf numFmtId="1" fontId="0" fillId="2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0728-264B-4A57-B6A0-25CC2264A095}">
  <dimension ref="A1:J22"/>
  <sheetViews>
    <sheetView topLeftCell="A2" workbookViewId="0">
      <selection activeCell="C12" sqref="C12"/>
    </sheetView>
  </sheetViews>
  <sheetFormatPr defaultRowHeight="14.5" x14ac:dyDescent="0.35"/>
  <cols>
    <col min="1" max="1" width="20.453125" customWidth="1"/>
    <col min="2" max="2" width="9.54296875" style="1" customWidth="1"/>
    <col min="3" max="3" width="32.36328125" customWidth="1"/>
    <col min="4" max="4" width="19.81640625" style="1" customWidth="1"/>
    <col min="5" max="5" width="18.6328125" style="1" customWidth="1"/>
    <col min="6" max="6" width="19.90625" style="4" customWidth="1"/>
    <col min="7" max="7" width="15.81640625" style="7" customWidth="1"/>
    <col min="8" max="8" width="10.90625" style="10" customWidth="1"/>
    <col min="10" max="10" width="19.36328125" customWidth="1"/>
  </cols>
  <sheetData>
    <row r="1" spans="1:10" x14ac:dyDescent="0.35">
      <c r="A1" t="s">
        <v>3</v>
      </c>
      <c r="B1" s="1" t="s">
        <v>2</v>
      </c>
      <c r="C1" t="s">
        <v>1</v>
      </c>
      <c r="D1" s="1" t="s">
        <v>5</v>
      </c>
      <c r="E1" s="1" t="s">
        <v>6</v>
      </c>
      <c r="F1" s="4" t="s">
        <v>7</v>
      </c>
      <c r="G1" s="7" t="s">
        <v>28</v>
      </c>
      <c r="H1" s="6" t="s">
        <v>29</v>
      </c>
    </row>
    <row r="2" spans="1:10" x14ac:dyDescent="0.35">
      <c r="A2" s="2" t="s">
        <v>0</v>
      </c>
      <c r="B2" s="3">
        <v>1</v>
      </c>
      <c r="C2" s="2" t="s">
        <v>8</v>
      </c>
      <c r="D2" s="3">
        <v>67592676590</v>
      </c>
      <c r="E2" s="3">
        <v>0</v>
      </c>
      <c r="F2" s="5">
        <v>67592676590</v>
      </c>
      <c r="G2" s="8">
        <f>F2/$J$2</f>
        <v>0.77905593592257905</v>
      </c>
      <c r="H2" s="9">
        <f>F2/1000000000</f>
        <v>67.592676589999996</v>
      </c>
      <c r="J2" s="1">
        <f>SUM(F2:F12)</f>
        <v>86762289424</v>
      </c>
    </row>
    <row r="3" spans="1:10" x14ac:dyDescent="0.35">
      <c r="A3" s="2" t="s">
        <v>0</v>
      </c>
      <c r="B3" s="3">
        <v>5</v>
      </c>
      <c r="C3" s="2" t="s">
        <v>9</v>
      </c>
      <c r="D3" s="3">
        <v>654289047</v>
      </c>
      <c r="E3" s="3">
        <v>53504815</v>
      </c>
      <c r="F3" s="5">
        <v>600784232</v>
      </c>
      <c r="G3" s="8">
        <f t="shared" ref="G3:G12" si="0">F3/$J$2</f>
        <v>6.9244856952081803E-3</v>
      </c>
      <c r="H3" s="9">
        <f t="shared" ref="H3:H22" si="1">F3/1000000000</f>
        <v>0.60078423199999997</v>
      </c>
      <c r="J3" s="1">
        <f>SUM(F13:F22)</f>
        <v>86762289424</v>
      </c>
    </row>
    <row r="4" spans="1:10" x14ac:dyDescent="0.35">
      <c r="A4" s="2" t="s">
        <v>0</v>
      </c>
      <c r="B4" s="3">
        <v>6</v>
      </c>
      <c r="C4" s="2" t="s">
        <v>10</v>
      </c>
      <c r="D4" s="3">
        <v>665294178</v>
      </c>
      <c r="E4" s="3">
        <v>0</v>
      </c>
      <c r="F4" s="5">
        <v>665294178</v>
      </c>
      <c r="G4" s="8">
        <f t="shared" si="0"/>
        <v>7.6680108652823044E-3</v>
      </c>
      <c r="H4" s="9">
        <f t="shared" si="1"/>
        <v>0.66529417800000001</v>
      </c>
    </row>
    <row r="5" spans="1:10" x14ac:dyDescent="0.35">
      <c r="A5" s="2" t="s">
        <v>0</v>
      </c>
      <c r="B5" s="3">
        <v>7</v>
      </c>
      <c r="C5" s="2" t="s">
        <v>11</v>
      </c>
      <c r="D5" s="3">
        <v>34873996</v>
      </c>
      <c r="E5" s="3">
        <v>0</v>
      </c>
      <c r="F5" s="5">
        <v>34873996</v>
      </c>
      <c r="G5" s="8">
        <f t="shared" si="0"/>
        <v>4.0194877557430184E-4</v>
      </c>
      <c r="H5" s="9">
        <f t="shared" si="1"/>
        <v>3.4873995999999997E-2</v>
      </c>
    </row>
    <row r="6" spans="1:10" x14ac:dyDescent="0.35">
      <c r="A6" s="2" t="s">
        <v>0</v>
      </c>
      <c r="B6" s="3">
        <v>8</v>
      </c>
      <c r="C6" s="2" t="s">
        <v>12</v>
      </c>
      <c r="D6" s="3">
        <v>3084795766</v>
      </c>
      <c r="E6" s="3">
        <v>0</v>
      </c>
      <c r="F6" s="5">
        <v>3084795766</v>
      </c>
      <c r="G6" s="8">
        <f t="shared" si="0"/>
        <v>3.5554568539851027E-2</v>
      </c>
      <c r="H6" s="9">
        <f t="shared" si="1"/>
        <v>3.0847957660000001</v>
      </c>
    </row>
    <row r="7" spans="1:10" x14ac:dyDescent="0.35">
      <c r="A7" s="2" t="s">
        <v>0</v>
      </c>
      <c r="B7" s="3">
        <v>10</v>
      </c>
      <c r="C7" s="2" t="s">
        <v>13</v>
      </c>
      <c r="D7" s="3">
        <v>750223</v>
      </c>
      <c r="E7" s="3">
        <v>0</v>
      </c>
      <c r="F7" s="5">
        <v>750223</v>
      </c>
      <c r="G7" s="8">
        <f t="shared" si="0"/>
        <v>8.646878787784441E-6</v>
      </c>
      <c r="H7" s="9">
        <f t="shared" si="1"/>
        <v>7.5022299999999995E-4</v>
      </c>
    </row>
    <row r="8" spans="1:10" x14ac:dyDescent="0.35">
      <c r="A8" s="2" t="s">
        <v>0</v>
      </c>
      <c r="B8" s="3">
        <v>11</v>
      </c>
      <c r="C8" s="2" t="s">
        <v>14</v>
      </c>
      <c r="D8" s="3">
        <v>-1985696544</v>
      </c>
      <c r="E8" s="3">
        <v>0</v>
      </c>
      <c r="F8" s="5">
        <v>-1985696544</v>
      </c>
      <c r="G8" s="8">
        <f t="shared" si="0"/>
        <v>-2.2886631475295311E-2</v>
      </c>
      <c r="H8" s="9">
        <f t="shared" si="1"/>
        <v>-1.9856965440000001</v>
      </c>
    </row>
    <row r="9" spans="1:10" x14ac:dyDescent="0.35">
      <c r="A9" s="2" t="s">
        <v>0</v>
      </c>
      <c r="B9" s="3">
        <v>12</v>
      </c>
      <c r="C9" s="2" t="s">
        <v>15</v>
      </c>
      <c r="D9" s="3">
        <v>20</v>
      </c>
      <c r="E9" s="3">
        <v>0</v>
      </c>
      <c r="F9" s="5">
        <v>20</v>
      </c>
      <c r="G9" s="8">
        <f t="shared" si="0"/>
        <v>2.305148945789303E-10</v>
      </c>
      <c r="H9" s="9">
        <f t="shared" si="1"/>
        <v>2E-8</v>
      </c>
    </row>
    <row r="10" spans="1:10" x14ac:dyDescent="0.35">
      <c r="A10" s="2" t="s">
        <v>0</v>
      </c>
      <c r="B10" s="3">
        <v>13</v>
      </c>
      <c r="C10" s="2" t="s">
        <v>16</v>
      </c>
      <c r="D10" s="3">
        <v>1287740026</v>
      </c>
      <c r="E10" s="3">
        <v>1119492733</v>
      </c>
      <c r="F10" s="5">
        <v>168247293</v>
      </c>
      <c r="G10" s="8">
        <f t="shared" si="0"/>
        <v>1.93917535045427E-3</v>
      </c>
      <c r="H10" s="9">
        <f t="shared" si="1"/>
        <v>0.16824729299999999</v>
      </c>
    </row>
    <row r="11" spans="1:10" x14ac:dyDescent="0.35">
      <c r="A11" s="2" t="s">
        <v>0</v>
      </c>
      <c r="B11" s="3">
        <v>14</v>
      </c>
      <c r="C11" s="2" t="s">
        <v>18</v>
      </c>
      <c r="D11" s="3">
        <v>16595563670</v>
      </c>
      <c r="E11" s="3">
        <v>0</v>
      </c>
      <c r="F11" s="5">
        <v>16595563670</v>
      </c>
      <c r="G11" s="8">
        <f t="shared" si="0"/>
        <v>0.19127623049339879</v>
      </c>
      <c r="H11" s="9">
        <f t="shared" si="1"/>
        <v>16.595563670000001</v>
      </c>
    </row>
    <row r="12" spans="1:10" x14ac:dyDescent="0.35">
      <c r="A12" s="2" t="s">
        <v>0</v>
      </c>
      <c r="B12" s="3">
        <v>15</v>
      </c>
      <c r="C12" s="2" t="s">
        <v>17</v>
      </c>
      <c r="D12" s="3">
        <v>5000000</v>
      </c>
      <c r="E12" s="3">
        <v>0</v>
      </c>
      <c r="F12" s="5">
        <v>5000000</v>
      </c>
      <c r="G12" s="8">
        <f t="shared" si="0"/>
        <v>5.7628723644732574E-5</v>
      </c>
      <c r="H12" s="9">
        <f t="shared" si="1"/>
        <v>5.0000000000000001E-3</v>
      </c>
    </row>
    <row r="13" spans="1:10" x14ac:dyDescent="0.35">
      <c r="A13" t="s">
        <v>4</v>
      </c>
      <c r="B13" s="1">
        <v>22</v>
      </c>
      <c r="C13" t="s">
        <v>19</v>
      </c>
      <c r="D13" s="1">
        <v>500309</v>
      </c>
      <c r="E13" s="1">
        <v>0</v>
      </c>
      <c r="F13" s="4">
        <v>500309</v>
      </c>
      <c r="G13" s="7">
        <f>F13/$J$3</f>
        <v>5.7664338195945023E-6</v>
      </c>
      <c r="H13" s="10">
        <f t="shared" si="1"/>
        <v>5.00309E-4</v>
      </c>
    </row>
    <row r="14" spans="1:10" x14ac:dyDescent="0.35">
      <c r="A14" t="s">
        <v>4</v>
      </c>
      <c r="B14" s="1">
        <v>23</v>
      </c>
      <c r="C14" t="s">
        <v>20</v>
      </c>
      <c r="D14" s="1">
        <v>243409630</v>
      </c>
      <c r="E14" s="1">
        <v>0</v>
      </c>
      <c r="F14" s="4">
        <v>243409630</v>
      </c>
      <c r="G14" s="7">
        <f t="shared" ref="G14:G22" si="2">F14/$J$3</f>
        <v>2.8054772599473217E-3</v>
      </c>
      <c r="H14" s="10">
        <f t="shared" si="1"/>
        <v>0.24340962999999999</v>
      </c>
    </row>
    <row r="15" spans="1:10" x14ac:dyDescent="0.35">
      <c r="A15" t="s">
        <v>4</v>
      </c>
      <c r="B15" s="1">
        <v>24</v>
      </c>
      <c r="C15" t="s">
        <v>9</v>
      </c>
      <c r="D15" s="1">
        <v>5807069414</v>
      </c>
      <c r="E15" s="1">
        <v>53504815</v>
      </c>
      <c r="F15" s="4">
        <v>5753564599</v>
      </c>
      <c r="G15" s="7">
        <f t="shared" si="2"/>
        <v>6.6314116849577526E-2</v>
      </c>
      <c r="H15" s="10">
        <f t="shared" si="1"/>
        <v>5.7535645989999997</v>
      </c>
    </row>
    <row r="16" spans="1:10" x14ac:dyDescent="0.35">
      <c r="A16" t="s">
        <v>4</v>
      </c>
      <c r="B16" s="1">
        <v>26</v>
      </c>
      <c r="C16" t="s">
        <v>21</v>
      </c>
      <c r="D16" s="1">
        <v>30</v>
      </c>
      <c r="E16" s="1">
        <v>0</v>
      </c>
      <c r="F16" s="4">
        <v>30</v>
      </c>
      <c r="G16" s="7">
        <f t="shared" si="2"/>
        <v>3.4577234186839547E-10</v>
      </c>
      <c r="H16" s="10">
        <f t="shared" si="1"/>
        <v>2.9999999999999997E-8</v>
      </c>
    </row>
    <row r="17" spans="1:8" x14ac:dyDescent="0.35">
      <c r="A17" t="s">
        <v>4</v>
      </c>
      <c r="B17" s="1">
        <v>27</v>
      </c>
      <c r="C17" t="s">
        <v>22</v>
      </c>
      <c r="D17" s="1">
        <v>69669527710</v>
      </c>
      <c r="E17" s="1">
        <v>0</v>
      </c>
      <c r="F17" s="4">
        <v>69669527710</v>
      </c>
      <c r="G17" s="7">
        <f t="shared" si="2"/>
        <v>0.80299319177172568</v>
      </c>
      <c r="H17" s="10">
        <f t="shared" si="1"/>
        <v>69.669527709999997</v>
      </c>
    </row>
    <row r="18" spans="1:8" x14ac:dyDescent="0.35">
      <c r="A18" t="s">
        <v>4</v>
      </c>
      <c r="B18" s="1">
        <v>28</v>
      </c>
      <c r="C18" t="s">
        <v>23</v>
      </c>
      <c r="D18" s="1">
        <v>519071242</v>
      </c>
      <c r="E18" s="1">
        <v>0</v>
      </c>
      <c r="F18" s="4">
        <v>519071242</v>
      </c>
      <c r="G18" s="7">
        <f t="shared" si="2"/>
        <v>5.982682631429221E-3</v>
      </c>
      <c r="H18" s="10">
        <f t="shared" si="1"/>
        <v>0.51907124199999999</v>
      </c>
    </row>
    <row r="19" spans="1:8" x14ac:dyDescent="0.35">
      <c r="A19" t="s">
        <v>4</v>
      </c>
      <c r="B19" s="1">
        <v>30</v>
      </c>
      <c r="C19" t="s">
        <v>24</v>
      </c>
      <c r="D19" s="1">
        <v>837678352</v>
      </c>
      <c r="E19" s="1">
        <v>0</v>
      </c>
      <c r="F19" s="4">
        <v>837678352</v>
      </c>
      <c r="G19" s="7">
        <f>F19/$J$3</f>
        <v>9.6548668501166036E-3</v>
      </c>
      <c r="H19" s="10">
        <f t="shared" si="1"/>
        <v>0.83767835199999996</v>
      </c>
    </row>
    <row r="20" spans="1:8" x14ac:dyDescent="0.35">
      <c r="A20" t="s">
        <v>4</v>
      </c>
      <c r="B20" s="1">
        <v>33</v>
      </c>
      <c r="C20" t="s">
        <v>25</v>
      </c>
      <c r="D20" s="1">
        <v>2953167618</v>
      </c>
      <c r="E20" s="1">
        <v>1119492733</v>
      </c>
      <c r="F20" s="4">
        <v>1833674885</v>
      </c>
      <c r="G20" s="7">
        <f t="shared" si="2"/>
        <v>2.1134468640390359E-2</v>
      </c>
      <c r="H20" s="10">
        <f t="shared" si="1"/>
        <v>1.833674885</v>
      </c>
    </row>
    <row r="21" spans="1:8" x14ac:dyDescent="0.35">
      <c r="A21" t="s">
        <v>4</v>
      </c>
      <c r="B21" s="1">
        <v>34</v>
      </c>
      <c r="C21" t="s">
        <v>26</v>
      </c>
      <c r="D21" s="1">
        <v>7899862667</v>
      </c>
      <c r="E21" s="1">
        <v>0</v>
      </c>
      <c r="F21" s="4">
        <v>7899862667</v>
      </c>
      <c r="G21" s="7">
        <f t="shared" si="2"/>
        <v>9.1051800493576612E-2</v>
      </c>
      <c r="H21" s="10">
        <f t="shared" si="1"/>
        <v>7.8998626669999998</v>
      </c>
    </row>
    <row r="22" spans="1:8" x14ac:dyDescent="0.35">
      <c r="A22" t="s">
        <v>4</v>
      </c>
      <c r="B22" s="1">
        <v>35</v>
      </c>
      <c r="C22" t="s">
        <v>27</v>
      </c>
      <c r="D22" s="1">
        <v>5000000</v>
      </c>
      <c r="E22" s="1">
        <v>0</v>
      </c>
      <c r="F22" s="4">
        <v>5000000</v>
      </c>
      <c r="G22" s="7">
        <f t="shared" si="2"/>
        <v>5.7628723644732574E-5</v>
      </c>
      <c r="H22" s="10">
        <f t="shared" si="1"/>
        <v>5.0000000000000001E-3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3072-9D40-4AC6-B300-6A20A10E229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hoja-bruta</vt:lpstr>
      <vt:lpstr>export-csv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Cornejo</dc:creator>
  <cp:lastModifiedBy>Trinidad Cornejo</cp:lastModifiedBy>
  <dcterms:created xsi:type="dcterms:W3CDTF">2026-07-20T00:18:10Z</dcterms:created>
  <dcterms:modified xsi:type="dcterms:W3CDTF">2026-07-20T00:44:08Z</dcterms:modified>
</cp:coreProperties>
</file>