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/>
  <mc:AlternateContent xmlns:mc="http://schemas.openxmlformats.org/markup-compatibility/2006">
    <mc:Choice Requires="x15">
      <x15ac:absPath xmlns:x15ac="http://schemas.microsoft.com/office/spreadsheetml/2010/11/ac" url="C:\Users\rhicil\Downloads\Archivos Contabilidad\"/>
    </mc:Choice>
  </mc:AlternateContent>
  <xr:revisionPtr revIDLastSave="0" documentId="13_ncr:1_{3048D195-F84A-445C-832E-3198115C71A0}" xr6:coauthVersionLast="36" xr6:coauthVersionMax="36" xr10:uidLastSave="{00000000-0000-0000-0000-000000000000}"/>
  <bookViews>
    <workbookView xWindow="0" yWindow="0" windowWidth="38400" windowHeight="16575" xr2:uid="{00000000-000D-0000-FFFF-FFFF00000000}"/>
  </bookViews>
  <sheets>
    <sheet name="A Consol. Monac" sheetId="10" r:id="rId1"/>
    <sheet name="A.1 Ing Gen desg. Consolidado" sheetId="11" r:id="rId2"/>
    <sheet name="C Gts Gen desg. Consolidado" sheetId="3" r:id="rId3"/>
    <sheet name="VII A. Resumen Deuda" sheetId="4" r:id="rId4"/>
    <sheet name="Resumen Inversiones" sheetId="5" r:id="rId5"/>
    <sheet name="VII B.1 E° Comp D Pub Dir Int" sheetId="6" r:id="rId6"/>
    <sheet name="VII B.2 E° Comp D Pub Ind Int" sheetId="7" r:id="rId7"/>
    <sheet name="VII C.1 Comp D Pub Dir Ext Acr " sheetId="8" r:id="rId8"/>
    <sheet name="VII C.2 Comp D Pub Dir Ext Geo " sheetId="9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A_IMPRESIÓN_IM">#REF!</definedName>
    <definedName name="AA">#REF!</definedName>
    <definedName name="Actual">#REF!</definedName>
    <definedName name="afasf">#REF!</definedName>
    <definedName name="aff">#REF!</definedName>
    <definedName name="Ale">[1]MATRIZ!#REF!</definedName>
    <definedName name="alejandra">#REF!</definedName>
    <definedName name="algodur">#REF!</definedName>
    <definedName name="algodur2">#REF!</definedName>
    <definedName name="area">[2]weights1!$B$1:$T$59</definedName>
    <definedName name="asasas">#REF!</definedName>
    <definedName name="asasas2">#REF!</definedName>
    <definedName name="banco">'[3]BASE '!$C$2:$C$64</definedName>
    <definedName name="Base">[2]weights1!$B$1:$T$60</definedName>
    <definedName name="bb">#REF!</definedName>
    <definedName name="bloomdur">'[4]Bloomberg duration lookup'!$A:$C</definedName>
    <definedName name="Bono">[2]weights1!$B$1:$T$60</definedName>
    <definedName name="Bonos">[2]weights1!$E$1:$T$60</definedName>
    <definedName name="Compra">[2]Hoja1!$A$1:$D$11</definedName>
    <definedName name="d">[5]IOControl!$E$2</definedName>
    <definedName name="DUR_TOTAL">[6]MATRIZ!#REF!</definedName>
    <definedName name="durationblm">#REF!</definedName>
    <definedName name="eqe">#REF!</definedName>
    <definedName name="fds">[7]IOControl!$E$4</definedName>
    <definedName name="flat">#REF!</definedName>
    <definedName name="Geldsaldo">#REF!</definedName>
    <definedName name="h">#REF!</definedName>
    <definedName name="i">#REF!</definedName>
    <definedName name="IITPIngMC">#REF!</definedName>
    <definedName name="instrumentos">'[3]BASE '!$E$2:$E$10</definedName>
    <definedName name="inter">'[3]BASE '!$D$2:$D$14</definedName>
    <definedName name="IO_CUR_COL">1</definedName>
    <definedName name="IO_CUR_ROW">7</definedName>
    <definedName name="klui">#REF!</definedName>
    <definedName name="MCC">[1]MATRIZ!#REF!</definedName>
    <definedName name="mog">#REF!</definedName>
    <definedName name="moneda">'[3]BASE '!$B$2:$B$4</definedName>
    <definedName name="PARM_Account">[8]IOControl!$E$2</definedName>
    <definedName name="PARM_To_Date">[8]IOControl!$E$4</definedName>
    <definedName name="qw">#REF!</definedName>
    <definedName name="s">Main.SAPF4Help()</definedName>
    <definedName name="SAPBEXrevision">48</definedName>
    <definedName name="SAPBEXsysID">"CB3"</definedName>
    <definedName name="SAPBEXwbID">"3K38N8CGSBLCA6WS8HM7W6P8E"</definedName>
    <definedName name="SAPFuncF4Help">Main.SAPF4Help()</definedName>
    <definedName name="sd">[7]IOControl!$E$2</definedName>
    <definedName name="shit">#REF!</definedName>
    <definedName name="subinstrumento">'[3]BASE '!$F$2:$F$97</definedName>
    <definedName name="Switch">[2]Hoja1!$B$4:$D$27</definedName>
    <definedName name="tran">#REF!</definedName>
    <definedName name="TRAN_AD">#REF!</definedName>
    <definedName name="TRAN_AN_COL">#REF!</definedName>
    <definedName name="TRAN_AS_COL">#REF!</definedName>
    <definedName name="TRAN_CD_COL">#REF!</definedName>
    <definedName name="TRAN_CS_COL">#REF!</definedName>
    <definedName name="TRAN_CU_COL">#REF!</definedName>
    <definedName name="TRAN_CV_COL">#REF!</definedName>
    <definedName name="TRAN_DETAIL_ROW">#REF!</definedName>
    <definedName name="TRAN_ED_COL">#REF!</definedName>
    <definedName name="TRAN_G8_COL">#REF!</definedName>
    <definedName name="TRAN_HEADER_1">#REF!</definedName>
    <definedName name="TRAN_HEADER_2">#REF!</definedName>
    <definedName name="TRAN_INSERTED_ROWS">#REF!</definedName>
    <definedName name="TRAN_RG_COL">#REF!</definedName>
    <definedName name="TRAN_SD_COL">#REF!</definedName>
    <definedName name="TRAN_SUBTOTAL_1">#REF!</definedName>
    <definedName name="TRAN_SUBTOTAL_2">#REF!</definedName>
    <definedName name="TRAN_TC_COL">#REF!</definedName>
    <definedName name="TRAN_TD_COL">#REF!</definedName>
    <definedName name="TRAN_TO_COL">#REF!</definedName>
    <definedName name="TRAN_TP_COL">#REF!</definedName>
    <definedName name="Venta">[2]Hoja1!$A$13:$D$17</definedName>
    <definedName name="XXX">Main.SAPF4Help()</definedName>
    <definedName name="Y">#REF!</definedName>
    <definedName name="YYY">Main.SAPF4Help()</definedName>
  </definedNames>
  <calcPr calcId="191029"/>
  <extLst>
    <ext uri="GoogleSheetsCustomDataVersion2">
      <go:sheetsCustomData xmlns:go="http://customooxmlschemas.google.com/" r:id="rId23" roundtripDataChecksum="LRq2hSsK6NOYWmSpRzN+w931bwxWRAM5jCgNwFAxI/0="/>
    </ext>
  </extLst>
</workbook>
</file>

<file path=xl/calcChain.xml><?xml version="1.0" encoding="utf-8"?>
<calcChain xmlns="http://schemas.openxmlformats.org/spreadsheetml/2006/main">
  <c r="F49" i="9" l="1"/>
  <c r="E48" i="9"/>
  <c r="E47" i="9"/>
  <c r="E50" i="9" s="1"/>
  <c r="F9" i="9"/>
  <c r="H9" i="9" s="1"/>
  <c r="D9" i="9"/>
  <c r="E49" i="9" s="1"/>
  <c r="F8" i="9"/>
  <c r="F48" i="9" s="1"/>
  <c r="D8" i="9"/>
  <c r="F7" i="9"/>
  <c r="H7" i="9" s="1"/>
  <c r="D7" i="9"/>
  <c r="E56" i="8"/>
  <c r="E44" i="8"/>
  <c r="D44" i="8"/>
  <c r="E37" i="8"/>
  <c r="D37" i="8"/>
  <c r="E30" i="8"/>
  <c r="E55" i="8" s="1"/>
  <c r="E57" i="8" s="1"/>
  <c r="D30" i="8"/>
  <c r="D55" i="8" s="1"/>
  <c r="D57" i="8" s="1"/>
  <c r="E26" i="8"/>
  <c r="D26" i="8"/>
  <c r="F13" i="8"/>
  <c r="E13" i="8"/>
  <c r="D13" i="8"/>
  <c r="D56" i="8" s="1"/>
  <c r="F11" i="8"/>
  <c r="F9" i="8"/>
  <c r="F8" i="8"/>
  <c r="F16" i="7"/>
  <c r="E16" i="7"/>
  <c r="G16" i="7" s="1"/>
  <c r="G14" i="7"/>
  <c r="G13" i="7"/>
  <c r="G12" i="7"/>
  <c r="G11" i="7"/>
  <c r="G10" i="7"/>
  <c r="G9" i="7"/>
  <c r="E71" i="6"/>
  <c r="D71" i="6"/>
  <c r="C71" i="6"/>
  <c r="E70" i="6"/>
  <c r="E69" i="6"/>
  <c r="E68" i="6"/>
  <c r="E67" i="6"/>
  <c r="E66" i="6"/>
  <c r="E65" i="6"/>
  <c r="E60" i="6"/>
  <c r="E58" i="6"/>
  <c r="D58" i="6"/>
  <c r="C58" i="6"/>
  <c r="D54" i="6"/>
  <c r="D79" i="6" s="1"/>
  <c r="E79" i="6" s="1"/>
  <c r="C54" i="6"/>
  <c r="E53" i="6"/>
  <c r="E51" i="6"/>
  <c r="E50" i="6"/>
  <c r="E49" i="6"/>
  <c r="E48" i="6"/>
  <c r="E47" i="6"/>
  <c r="E46" i="6"/>
  <c r="E44" i="6"/>
  <c r="E43" i="6"/>
  <c r="E42" i="6"/>
  <c r="E40" i="6"/>
  <c r="E39" i="6"/>
  <c r="E34" i="6"/>
  <c r="E33" i="6"/>
  <c r="E31" i="6"/>
  <c r="D31" i="6"/>
  <c r="C31" i="6"/>
  <c r="E28" i="6"/>
  <c r="D28" i="6"/>
  <c r="C28" i="6"/>
  <c r="C79" i="6" s="1"/>
  <c r="E27" i="6"/>
  <c r="E26" i="6"/>
  <c r="E25" i="6"/>
  <c r="E24" i="6"/>
  <c r="E23" i="6"/>
  <c r="E22" i="6"/>
  <c r="E20" i="6"/>
  <c r="E19" i="6"/>
  <c r="E17" i="6"/>
  <c r="E16" i="6"/>
  <c r="E15" i="6"/>
  <c r="E14" i="6"/>
  <c r="E13" i="6"/>
  <c r="E12" i="6"/>
  <c r="E11" i="6"/>
  <c r="E10" i="6"/>
  <c r="E9" i="6"/>
  <c r="E46" i="5"/>
  <c r="D40" i="5"/>
  <c r="C40" i="5"/>
  <c r="D34" i="5"/>
  <c r="E34" i="5"/>
  <c r="C34" i="5"/>
  <c r="C18" i="5"/>
  <c r="E18" i="5"/>
  <c r="D18" i="5"/>
  <c r="D14" i="5"/>
  <c r="C14" i="5"/>
  <c r="E14" i="5"/>
  <c r="E9" i="5"/>
  <c r="D9" i="5"/>
  <c r="C9" i="5"/>
  <c r="E73" i="4"/>
  <c r="D73" i="4"/>
  <c r="E72" i="4"/>
  <c r="E58" i="4"/>
  <c r="C58" i="4"/>
  <c r="G56" i="4"/>
  <c r="G55" i="4"/>
  <c r="G58" i="4" s="1"/>
  <c r="D56" i="4"/>
  <c r="F12" i="4"/>
  <c r="G11" i="4" s="1"/>
  <c r="D55" i="4"/>
  <c r="E20" i="5" l="1"/>
  <c r="E21" i="5" s="1"/>
  <c r="D20" i="5"/>
  <c r="D21" i="5" s="1"/>
  <c r="D58" i="4"/>
  <c r="C20" i="5"/>
  <c r="C21" i="5" s="1"/>
  <c r="D46" i="5"/>
  <c r="G10" i="4"/>
  <c r="G12" i="4" s="1"/>
  <c r="F11" i="9"/>
  <c r="H11" i="9" s="1"/>
  <c r="H8" i="9"/>
  <c r="F55" i="4"/>
  <c r="F56" i="4"/>
  <c r="H56" i="4" s="1"/>
  <c r="D72" i="4"/>
  <c r="F47" i="9"/>
  <c r="F50" i="9" s="1"/>
  <c r="H11" i="4"/>
  <c r="E40" i="5"/>
  <c r="D11" i="9"/>
  <c r="D12" i="4"/>
  <c r="C46" i="5"/>
  <c r="H10" i="4"/>
  <c r="E54" i="6"/>
  <c r="F58" i="4" l="1"/>
  <c r="H12" i="4"/>
  <c r="F14" i="4" s="1"/>
  <c r="H55" i="4"/>
  <c r="H58" i="4" s="1"/>
  <c r="E11" i="4"/>
  <c r="E10" i="4"/>
  <c r="E12" i="4" s="1"/>
  <c r="D14" i="4" l="1"/>
  <c r="H14" i="4" s="1"/>
</calcChain>
</file>

<file path=xl/sharedStrings.xml><?xml version="1.0" encoding="utf-8"?>
<sst xmlns="http://schemas.openxmlformats.org/spreadsheetml/2006/main" count="929" uniqueCount="704">
  <si>
    <t>A. EJECUCIÓN CONSOLIDADA EN MONEDA NACIONAL</t>
  </si>
  <si>
    <t>(miles de pesos)</t>
  </si>
  <si>
    <t>Período: Diciembre 2023 - 2024</t>
  </si>
  <si>
    <t>INGRESOS</t>
  </si>
  <si>
    <t>Año 2023</t>
  </si>
  <si>
    <t>Año 2024</t>
  </si>
  <si>
    <t>GASTOS</t>
  </si>
  <si>
    <t>IMPUESTOS</t>
  </si>
  <si>
    <t>SUBSIDIOS</t>
  </si>
  <si>
    <t>Impuestos a la renta</t>
  </si>
  <si>
    <t>Prestaciones de Seguridad Social</t>
  </si>
  <si>
    <t>Impuestos al valor agregado</t>
  </si>
  <si>
    <t>Transferencias corrientes</t>
  </si>
  <si>
    <t>Impuestos a productos específicos</t>
  </si>
  <si>
    <t>Transferencias de capital</t>
  </si>
  <si>
    <t>Impuestos a los actos jurídicos</t>
  </si>
  <si>
    <t>Impuestos al comercio exterior</t>
  </si>
  <si>
    <t>OPERACIONES COMPLEMENTARIAS</t>
  </si>
  <si>
    <t>Impuestos varios</t>
  </si>
  <si>
    <t>Presentaciones de seg. social y Bienes de Consumo</t>
  </si>
  <si>
    <t>Otros ingresos tributarios</t>
  </si>
  <si>
    <t>Transferencias corrientes y otros gastos</t>
  </si>
  <si>
    <t>Sistema de pago de impuestos</t>
  </si>
  <si>
    <t>Adquisición de activos financieros</t>
  </si>
  <si>
    <t>Transferencias de capital y préstamos</t>
  </si>
  <si>
    <t>TRANSFERENCIAS CORRIENTES</t>
  </si>
  <si>
    <t>RENTAS DE LA PROPIEDAD</t>
  </si>
  <si>
    <t>INGRESOS DE OPERACIÓN</t>
  </si>
  <si>
    <t>SERVICIO DE LA DEUDA</t>
  </si>
  <si>
    <t>OTROS INGRESOS CORRIENTES</t>
  </si>
  <si>
    <t>Intereses deuda - interna</t>
  </si>
  <si>
    <t>Multas e intereses no provenientes de impuestos</t>
  </si>
  <si>
    <t>Intereses deuda - externa</t>
  </si>
  <si>
    <t>Otros</t>
  </si>
  <si>
    <t>Otros gastos Financieros Deuda Interna</t>
  </si>
  <si>
    <t>Devoluciones y reintegros no provenientes</t>
  </si>
  <si>
    <t>Otros gastos Financieros Deuda Externa</t>
  </si>
  <si>
    <t>de impuestos</t>
  </si>
  <si>
    <t>Aporte Fdo. Retiro L.19.882</t>
  </si>
  <si>
    <t>Integros Ley N° 20.063</t>
  </si>
  <si>
    <t>APORTE FISCAL LIBRE A ORGANISMOS PÚBLICOS</t>
  </si>
  <si>
    <t>VENTA DE ACTIVOS NO FINANCIEROS</t>
  </si>
  <si>
    <t>VENTA DE ACTIVOS FINANCIEROS</t>
  </si>
  <si>
    <t>RECUPERACIÓN DE PRÉSTAMOS</t>
  </si>
  <si>
    <t>TRANSFERENCIAS PARA GASTOS DE CAPITAL</t>
  </si>
  <si>
    <t>FONDO DE RESERVA DE PENSIONES</t>
  </si>
  <si>
    <t>FONDO ESTABILIZACIÓN ECONÓMICA SOCIAL</t>
  </si>
  <si>
    <t>FONDO DE ESTABILIZACIÓN ECONÓMICA Y SOCIAL</t>
  </si>
  <si>
    <t>FONDO PARA LA EDUCACIÓN</t>
  </si>
  <si>
    <t>FONDO DE APOYO REGIONAL</t>
  </si>
  <si>
    <t>FONDO TRATAMIENTO ALTO COSTO</t>
  </si>
  <si>
    <t>EMPRESAS Y SOCIEDADES DEL ESTADO</t>
  </si>
  <si>
    <t>FONDO DE CONTINGENCIA ESTRATÉGICO</t>
  </si>
  <si>
    <t>FINANCIAMIENTO GOBIERNOS REGIONALES</t>
  </si>
  <si>
    <t>PROGRAMA DE BENEFICIOS FET - Covid - 19</t>
  </si>
  <si>
    <t>SUBTOTAL</t>
  </si>
  <si>
    <t>ENDEUDAMIENTO</t>
  </si>
  <si>
    <t>AMORTIZACIONES SERVICIO DE DEUDA</t>
  </si>
  <si>
    <t>Interno</t>
  </si>
  <si>
    <t>Interna</t>
  </si>
  <si>
    <t>Externo</t>
  </si>
  <si>
    <t>Externa</t>
  </si>
  <si>
    <t>OPERACIONES DE CAMBIO</t>
  </si>
  <si>
    <t>USO DE CAJA</t>
  </si>
  <si>
    <t>TOTAL INGRESOS GENERALES</t>
  </si>
  <si>
    <t>TOTAL GASTOS GENERALES</t>
  </si>
  <si>
    <t xml:space="preserve">Elaboración propia División Finanzas Públicas, Sección Contabilidad Gubernamental. </t>
  </si>
  <si>
    <t>Dato de la Ejecución Anual.</t>
  </si>
  <si>
    <t>B. INGRESOS GENERALES - CONSOLIDADO</t>
  </si>
  <si>
    <t>DESAGREGADOS POR TIPO DE INGRESO - NIVEL NACIONAL</t>
  </si>
  <si>
    <t>Período: Ejercicio 2024 - 2023</t>
  </si>
  <si>
    <t>DENOMINACIÓN</t>
  </si>
  <si>
    <t>Ejecución anual 2023</t>
  </si>
  <si>
    <t>Ejecución anual 2024</t>
  </si>
  <si>
    <t>Var. %</t>
  </si>
  <si>
    <t xml:space="preserve">Primera categoría; bienes raíces, agricultura, industria, comercio, minería, </t>
  </si>
  <si>
    <t>entidades financieras y otras</t>
  </si>
  <si>
    <t>Segunda categoría; sueldos, salarios y pensiones</t>
  </si>
  <si>
    <t>Global complementario</t>
  </si>
  <si>
    <t>Adicional</t>
  </si>
  <si>
    <t>Tasa 40% DL N° 2.398 de 1978</t>
  </si>
  <si>
    <t>Artículo 21 ley de impuesto a la renta</t>
  </si>
  <si>
    <t>Término de giro</t>
  </si>
  <si>
    <t>Impuesto específico a la actividad minera</t>
  </si>
  <si>
    <t>Instrumento de Deuda Art. 104. N° Ley Renta</t>
  </si>
  <si>
    <t>Impuesto al valor agregado</t>
  </si>
  <si>
    <t>Tasa General</t>
  </si>
  <si>
    <t>Débitos del período</t>
  </si>
  <si>
    <t>Créditos del período</t>
  </si>
  <si>
    <t>Tasas especiales</t>
  </si>
  <si>
    <t>Tasa general de importaciones</t>
  </si>
  <si>
    <t>Tabacos, cigarros, cigarrillos</t>
  </si>
  <si>
    <t>Combustibles</t>
  </si>
  <si>
    <t>Derechos de explotación</t>
  </si>
  <si>
    <t>Gasolina, petróleo diesel y otros</t>
  </si>
  <si>
    <t>Derecho de extracción Ley de Pesca</t>
  </si>
  <si>
    <t>Derechos específicos de interacción</t>
  </si>
  <si>
    <t>Derechos ad valórem</t>
  </si>
  <si>
    <t>Sistema de pago</t>
  </si>
  <si>
    <t>Herencias y donaciones</t>
  </si>
  <si>
    <t>Patentes mineras</t>
  </si>
  <si>
    <t>Juegos de azar</t>
  </si>
  <si>
    <t>Reajuste de impuestos de declaración anual</t>
  </si>
  <si>
    <t>Multas e intereses por impuestos</t>
  </si>
  <si>
    <t>Pagos provisionales del año</t>
  </si>
  <si>
    <t>Créditos para declaración anual</t>
  </si>
  <si>
    <t>Devoluciones determinadas</t>
  </si>
  <si>
    <t>Devoluciones de renta</t>
  </si>
  <si>
    <t>Reintegro de devoluciones</t>
  </si>
  <si>
    <t>Remanente créditos del período</t>
  </si>
  <si>
    <t>Remanente créditos períodos anteriores</t>
  </si>
  <si>
    <t>Devoluciones de IVA</t>
  </si>
  <si>
    <t>Devoluciones varias</t>
  </si>
  <si>
    <t>Devoluciones de aduanas</t>
  </si>
  <si>
    <t>Devoluciones de otros impuestos</t>
  </si>
  <si>
    <t>Fluctuaciones deudores</t>
  </si>
  <si>
    <t>Deudores del período</t>
  </si>
  <si>
    <t>Deudores de períodos anteriores</t>
  </si>
  <si>
    <t>Reajustes por pago fuera de plazo</t>
  </si>
  <si>
    <t>Diferencias de pagos de otros impuestos</t>
  </si>
  <si>
    <t>Impuestos declaración y pago simultáneo mensual de empresas constructoras</t>
  </si>
  <si>
    <t>Recuperación Peajes Ley 19.764</t>
  </si>
  <si>
    <t>Imputación Patentes Código de aguas</t>
  </si>
  <si>
    <t>Recuperación Créd. Sence</t>
  </si>
  <si>
    <t>Crédito Sistemas Solares</t>
  </si>
  <si>
    <t>Aplicación artículo 8° Ley N° 18.566</t>
  </si>
  <si>
    <t>Conversión de pagos en moneda extranjera</t>
  </si>
  <si>
    <t>Del sector privado</t>
  </si>
  <si>
    <t>Del Gobierno Central</t>
  </si>
  <si>
    <t>De otras entidades públicas</t>
  </si>
  <si>
    <t>Dividendos</t>
  </si>
  <si>
    <t>Intereses</t>
  </si>
  <si>
    <t>Participación de utilidades</t>
  </si>
  <si>
    <t>Otras rentas de la propiedad</t>
  </si>
  <si>
    <t>Venta de Bienes</t>
  </si>
  <si>
    <t>Venta de servicios</t>
  </si>
  <si>
    <t>Multas y sanciones pecunianas</t>
  </si>
  <si>
    <t>Devoluciones y reintegros no provenientes de impuestos</t>
  </si>
  <si>
    <t>Aporte fondo de retiro Ley 19.882</t>
  </si>
  <si>
    <t>Otros activos no financieros</t>
  </si>
  <si>
    <t>Venta de títulos y valores</t>
  </si>
  <si>
    <t>Operaciones de Cambio</t>
  </si>
  <si>
    <t xml:space="preserve">Otros Activos Financieros </t>
  </si>
  <si>
    <t>De Fomento</t>
  </si>
  <si>
    <t>De Asistencia Social</t>
  </si>
  <si>
    <t>Rentas de la Propiedad</t>
  </si>
  <si>
    <t>Venta de Activos Financieros</t>
  </si>
  <si>
    <t>Transferencias para Gastos de Capital</t>
  </si>
  <si>
    <t>FONDO PARA DIAGNÓSTICOS Y TRATAMIENTOS DE ALTO COSTO</t>
  </si>
  <si>
    <t>Transferencia para gasto de capital</t>
  </si>
  <si>
    <t>Aporte Fiscal</t>
  </si>
  <si>
    <t>Transferencias para gasto de capital</t>
  </si>
  <si>
    <t>TOTAL</t>
  </si>
  <si>
    <t>Para la conversión de las cifras, se utilizó el tipo de cambio del día 30 de diciembre de 2024 por un valor de $992,12</t>
  </si>
  <si>
    <t>C. GASTOS GENERALES - CONSOLIDADO</t>
  </si>
  <si>
    <t>DESAGREGADOS POR TIPO DE GASTO - NIVEL NACIONAL</t>
  </si>
  <si>
    <t xml:space="preserve">PRESTACIONES DE SEGURIDAD SOCIAL                                                </t>
  </si>
  <si>
    <t xml:space="preserve">Prestaciones Previsionales                                                      </t>
  </si>
  <si>
    <t xml:space="preserve">Jubilaciones, Pensiones y Montepíos                                                                                                                                                                                                                       </t>
  </si>
  <si>
    <t xml:space="preserve">Fondo Bono Laboral Ley N° 20.305                                                                                                                                                                                                                          </t>
  </si>
  <si>
    <t>TRANSFERENCIAS CORRIENTE</t>
  </si>
  <si>
    <t>Al sector privado</t>
  </si>
  <si>
    <t>Subvenciones</t>
  </si>
  <si>
    <t>Bonificación Región XII y la Antártica Chilena, y subsidio Isla de Pascua</t>
  </si>
  <si>
    <t>Fondo único prestaciones familiares y subsidios de cesantía</t>
  </si>
  <si>
    <t>Subsidio de cesantía art. 69 DFL (T. y P.S.) N° 150 de 1981</t>
  </si>
  <si>
    <t>Fondo nacional de subsidio familiar</t>
  </si>
  <si>
    <t>Subsidio agua potable Ley N° 18.778</t>
  </si>
  <si>
    <t>Bonificación a la contratación mano de obra Ley N° 19.853</t>
  </si>
  <si>
    <t xml:space="preserve">Beneficio Ley N°20.330 para Deudores Crédito Universitario, Leyes N°19.287 y 20.027 </t>
  </si>
  <si>
    <t>Subsidio Temporal y Otras Medidas de Apoyo para las MIPYMES y Cooperativas ley N° 21.578</t>
  </si>
  <si>
    <t xml:space="preserve">Aplicación Ley N° 20.765,  Art. 3° N° 6)  MEPCO                                                                                                                                                                                                           </t>
  </si>
  <si>
    <t>Subsidio Servicios Básicos Domiciliarios, ley N° 21.423</t>
  </si>
  <si>
    <t>Al gobierno central</t>
  </si>
  <si>
    <t>Fondo único de prestaciones familiares y subsidios de cesantía</t>
  </si>
  <si>
    <t xml:space="preserve">Empresas y Sociedades del Estado </t>
  </si>
  <si>
    <t>TRANSFERENCIAS DE CAPITAL</t>
  </si>
  <si>
    <t>Bonificación por inversiones de riego y drenaje</t>
  </si>
  <si>
    <t>Fondo fomento y desarrollo de regiones extremas</t>
  </si>
  <si>
    <t>Bosque Nativo Ley N° 20.283</t>
  </si>
  <si>
    <t>Empresas y Sociedades del estado</t>
  </si>
  <si>
    <t>BIENES Y SERVICIOS DE CONSUMO</t>
  </si>
  <si>
    <t>PRESTACIONES DE SEGURIDAD SOCIAL</t>
  </si>
  <si>
    <t>Prestaciones previsionales</t>
  </si>
  <si>
    <t>Jubilaciones, pensiones y montepíos</t>
  </si>
  <si>
    <t>Fondo seguro social de los EE.PP.</t>
  </si>
  <si>
    <t xml:space="preserve">Fondo Bono Laboral Ley N° 20.305 </t>
  </si>
  <si>
    <t>Prestaciones de asistencia social</t>
  </si>
  <si>
    <t>Garantía estatal pensiones mínimas</t>
  </si>
  <si>
    <t>Prestaciones sociales del empleador</t>
  </si>
  <si>
    <t>Indemnizaciones de cargo fiscal</t>
  </si>
  <si>
    <t>Reintegro simplificado gravámenes a exportadores</t>
  </si>
  <si>
    <t>Otras devoluciones</t>
  </si>
  <si>
    <t>Indemnización Bienes Confiscados Ley N° 19.568</t>
  </si>
  <si>
    <t>Aporte Fondo de Cesantía Solidario Ley 19.728</t>
  </si>
  <si>
    <t xml:space="preserve">Bonificación Ahorro Previsional, Ley N°20.255 </t>
  </si>
  <si>
    <t>De Aportes al Fondo Ley N° 20.444</t>
  </si>
  <si>
    <t>Reembolso Gasto Electoral a Candidatos y Partidos Políticos</t>
  </si>
  <si>
    <t xml:space="preserve">Beneficio Clase Media ley N° 21.252                                                                                                                                                                                                                       </t>
  </si>
  <si>
    <t xml:space="preserve">Ingreso Familiar de Emergencia ley N° 21.230                                                                                                                                                                                                              </t>
  </si>
  <si>
    <t xml:space="preserve">Bono Vocales de Mesa Ley N° 20.568                                                                                                                                                                                                                        </t>
  </si>
  <si>
    <t xml:space="preserve">Aporte Permanente a los Partidos Políticos Ley N°20.900                   </t>
  </si>
  <si>
    <t>Aporte al Fondo de Estabilización de Tarifas</t>
  </si>
  <si>
    <t>Préstamos externos</t>
  </si>
  <si>
    <t>Otras</t>
  </si>
  <si>
    <t>Empresas y Sociedades del Estado</t>
  </si>
  <si>
    <t xml:space="preserve">Fondo de Reserva de Pensiones Ley N° 20.128  </t>
  </si>
  <si>
    <t>A otras entidades públicas</t>
  </si>
  <si>
    <t xml:space="preserve"> Transferencias y Devoluciones Varias </t>
  </si>
  <si>
    <t xml:space="preserve"> Provisión para Financiamientos Comprometidos </t>
  </si>
  <si>
    <t xml:space="preserve"> Tribunal Constitucional </t>
  </si>
  <si>
    <t xml:space="preserve"> Aporte al Fondo Común Municipal </t>
  </si>
  <si>
    <t xml:space="preserve"> Tarifas de Cargo Fiscal en Acuerdos, Convenios o Tratados Internacionales </t>
  </si>
  <si>
    <t xml:space="preserve"> Consejo para la Transparencia </t>
  </si>
  <si>
    <t xml:space="preserve"> Tribunal Calificador de Elecciones </t>
  </si>
  <si>
    <t xml:space="preserve"> Tribunales Electorales Regionales </t>
  </si>
  <si>
    <t xml:space="preserve"> Tribunal de Defensa de la Libre Competencia </t>
  </si>
  <si>
    <t>Aporte para bonificación a personal Municipal Zona Extremas Ley N° 20.198</t>
  </si>
  <si>
    <t> Aporte para bonificación a personal asistente de la Educación Zonas Extremas</t>
  </si>
  <si>
    <t xml:space="preserve"> Instituto Nacional de Derechos Humanos </t>
  </si>
  <si>
    <t>Tribunales Ambientales</t>
  </si>
  <si>
    <t>Defensoría de los Derechos de la Niñez</t>
  </si>
  <si>
    <t xml:space="preserve"> Municipalidades Art. 129 bis 19 Ley N° 20.017 Codigo de agua</t>
  </si>
  <si>
    <t xml:space="preserve">Aplicación Art. 44 Ley N° 20.883 Bonificación Adicional Zonas Extremas                                                                                                                                                                                    </t>
  </si>
  <si>
    <t>Bonificación al retiro Funcionarios Municipales Ley 21.135</t>
  </si>
  <si>
    <t xml:space="preserve">Bonif.mensual funcionarios municipales ley N° 21.306, Art. 67 y ley N° 21.405, Art. 44                                                                                                                                                                                                                                </t>
  </si>
  <si>
    <t xml:space="preserve">Programa de Rezago de Causas Judiciales                                                                                                                                                                                                                   </t>
  </si>
  <si>
    <t>Tramitación de Rezagos</t>
  </si>
  <si>
    <t>Aplicación Art. 75 ley N° 21.526, Aporte Extraordinario a Municipalidades</t>
  </si>
  <si>
    <t xml:space="preserve"> A Organismos Internacionales </t>
  </si>
  <si>
    <t>OTROS GASTOS CORRIENTES</t>
  </si>
  <si>
    <t>Compensaciones por daños a terceros y/o a la propiedad</t>
  </si>
  <si>
    <t>Cumplimiento de sentencias ejecutoriadas</t>
  </si>
  <si>
    <t xml:space="preserve">Indemnizaciones Artículo 1° Transitorio Ley N°20.504                                                                                                                                                                                                      </t>
  </si>
  <si>
    <t>2% Constitucional</t>
  </si>
  <si>
    <t>ADQUISICIÓN DE ACTIVOS FINANCIEROS</t>
  </si>
  <si>
    <t>Compra de títulos y valores</t>
  </si>
  <si>
    <t>Compra de acciones y Part. De capital</t>
  </si>
  <si>
    <t>Otros activos financieros</t>
  </si>
  <si>
    <t>PRESTAMOS</t>
  </si>
  <si>
    <t>Prestamos</t>
  </si>
  <si>
    <t xml:space="preserve">TRANSFERENCIAS DE CAPITAL </t>
  </si>
  <si>
    <t xml:space="preserve">Al Sector Privado       </t>
  </si>
  <si>
    <t xml:space="preserve">De Aportes al Fondo Ley N°20.444            </t>
  </si>
  <si>
    <t>Aportes al gobierno central</t>
  </si>
  <si>
    <t>Patentes Mineras Ley N° 19.143</t>
  </si>
  <si>
    <t>Fondo de Magallanes Ley N° 19.275</t>
  </si>
  <si>
    <t>Recursos de Fondo de Infraestructura</t>
  </si>
  <si>
    <t>Iva Concesiones</t>
  </si>
  <si>
    <t xml:space="preserve">Casinos de Juego Gobiernos Regionales Ley N° 19.995 </t>
  </si>
  <si>
    <t>De Aportes al Fondo Ley N°20.444</t>
  </si>
  <si>
    <t xml:space="preserve">Patentes Geotérmicas FNDR Ley N° 19.657 </t>
  </si>
  <si>
    <t>Al Fondo de Apoyo Regional</t>
  </si>
  <si>
    <t>Al Fondo para Diagnóstico y  Tratamientos de  Alto Costo</t>
  </si>
  <si>
    <t>Gobiernos Regionales Art. 129 bis 19 Ley N° 20.017</t>
  </si>
  <si>
    <t>Fondo de Investigasión y Reconstrucción Regional</t>
  </si>
  <si>
    <t>Patentes de Acuicultura Gobiernos Regionales Ley N°18.892</t>
  </si>
  <si>
    <t>Al Fondo de Reserva de Pensiones</t>
  </si>
  <si>
    <t xml:space="preserve"> Al Fondo de Estabilización Económica y Social </t>
  </si>
  <si>
    <t xml:space="preserve">Empresas y Sociedades del Estado                                                                                                                                                                                                                          </t>
  </si>
  <si>
    <t xml:space="preserve">Fondo de Emergencia Transitorio                                                                                                                                                                                                                           </t>
  </si>
  <si>
    <t xml:space="preserve">Aplicación Art. 38 transitorio Ley N° 21.210                                                                                                                                                                                                              </t>
  </si>
  <si>
    <t>Al Fondo de Productividad y Desarrollo</t>
  </si>
  <si>
    <t>Fondo de Emergencia Transitorio por Incendios - Ley N° 21.681</t>
  </si>
  <si>
    <t>Aportes a otras entidades públicas</t>
  </si>
  <si>
    <t xml:space="preserve"> Patentes Mineras Municipalidades Ley N° 19.143 </t>
  </si>
  <si>
    <t xml:space="preserve">Casinos de Juego Municipalidades Ley N° 19.995 </t>
  </si>
  <si>
    <t>Patentes geotérmicas municipales Ley N° 19.657</t>
  </si>
  <si>
    <t xml:space="preserve">De Aportes al Fondo Ley N° 20.444                                                                                                                                                                                                                         </t>
  </si>
  <si>
    <t>SALDO CAJA</t>
  </si>
  <si>
    <t>SERVICIO DE LA DEUDA PÚBLICA</t>
  </si>
  <si>
    <t>APORTE FISCAL PARA SERVICIO DE LA DEUDA</t>
  </si>
  <si>
    <t>Amortización Deuda interna</t>
  </si>
  <si>
    <t>Amortización Deuda externa</t>
  </si>
  <si>
    <t>Intereses Deuda interna</t>
  </si>
  <si>
    <t>Intereses Deuda externa</t>
  </si>
  <si>
    <t>Otros gastos Financieros Deuda externa</t>
  </si>
  <si>
    <t>Otros gastos Financieros Deuda interna</t>
  </si>
  <si>
    <t>APORTE FISCAL LIBRE</t>
  </si>
  <si>
    <t>PRESIDENCIA DE LA REPÚBLICA</t>
  </si>
  <si>
    <t>Presidencia de la República</t>
  </si>
  <si>
    <t>CONGRESO NACIONAL</t>
  </si>
  <si>
    <t>Senado</t>
  </si>
  <si>
    <t>Cámara de Diputados</t>
  </si>
  <si>
    <t>Biblioteca del Congreso</t>
  </si>
  <si>
    <t xml:space="preserve">Consejo Resolutivo de Asignaciones Parlamentarias </t>
  </si>
  <si>
    <t>PODER JUDICIAL</t>
  </si>
  <si>
    <t>Poder Judicial</t>
  </si>
  <si>
    <t>Corporación Administrativa del Poder Judicial</t>
  </si>
  <si>
    <t>Academia Judicial</t>
  </si>
  <si>
    <t>CONTRALORÍA GENERAL DE LA REPÚBLICA</t>
  </si>
  <si>
    <t>Contraloría General de la República</t>
  </si>
  <si>
    <t>MINISTERIO DEL INTERIOR Y SEGURIDAD PÚBLICA</t>
  </si>
  <si>
    <t>Servicio de Gobierno Interior</t>
  </si>
  <si>
    <t>Oficina Nacional de Emergencia</t>
  </si>
  <si>
    <t>Subsecretaría de Desarrollo Regional y Administrativo</t>
  </si>
  <si>
    <t>Agencia Nacional de Inteligencia</t>
  </si>
  <si>
    <t xml:space="preserve">Subsecretaría de Prevención del Delito                                                                                                                                                                                                                    </t>
  </si>
  <si>
    <t xml:space="preserve">Servicio Nacional para Prevención y Rehabilitación Consumo de Drogas y Alcohol                                                                                                                                                                            </t>
  </si>
  <si>
    <t xml:space="preserve">Subsecretaría del Interior                                                                                                                                                                                                                                </t>
  </si>
  <si>
    <t xml:space="preserve">Carabineros de Chile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</si>
  <si>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Policía de Investigaciones de Chile                                                                                                                                                                                                                       </t>
  </si>
  <si>
    <t xml:space="preserve">Financiamiento Gobiernos Regionales                                                                                                                                                                                                                       </t>
  </si>
  <si>
    <t xml:space="preserve">Servicio Nacional de Migraciones                                                                                                                                                                                                                          </t>
  </si>
  <si>
    <t xml:space="preserve"> Gobierno Regional Región I Tarapacá </t>
  </si>
  <si>
    <t>#DIV/0!</t>
  </si>
  <si>
    <t xml:space="preserve"> Gobierno Regional Región II Antofagasta </t>
  </si>
  <si>
    <t xml:space="preserve"> Gobierno Regional Región III Atacama </t>
  </si>
  <si>
    <t xml:space="preserve"> Gobierno Regional Región IV Coquimbo </t>
  </si>
  <si>
    <t xml:space="preserve"> Gobierno Regional Región V Valparaíso </t>
  </si>
  <si>
    <t xml:space="preserve"> Gobierno Regional Región VI Libertador General Bernardo O'Higgins </t>
  </si>
  <si>
    <t xml:space="preserve"> Gobierno Regional Región VII Maule </t>
  </si>
  <si>
    <t xml:space="preserve"> Gobierno Regional Región VIII Bío-Bío </t>
  </si>
  <si>
    <t xml:space="preserve"> Gobierno Regional Región IX Araucanía </t>
  </si>
  <si>
    <t xml:space="preserve"> Gobierno Regional Región X Los Lagos </t>
  </si>
  <si>
    <t xml:space="preserve"> Gobierno Regional Región XI Aysén del General Carlos Ibáñez del Campo </t>
  </si>
  <si>
    <t xml:space="preserve"> Gobierno Regional Región XII Magallanes y Antártica Chilena </t>
  </si>
  <si>
    <t xml:space="preserve"> Gobierno Regional Región Metropolitana de Santiago </t>
  </si>
  <si>
    <t xml:space="preserve"> Gobierno Regional Región XIV Los Ríos </t>
  </si>
  <si>
    <t xml:space="preserve"> Gobierno Regional Región XV Arica y Parinacota </t>
  </si>
  <si>
    <t> Gobierno Regional Región XVI Ñuble</t>
  </si>
  <si>
    <t>MINISTERIO DE RELACIONES EXTERIORES</t>
  </si>
  <si>
    <t>Secretaría y Administración General y Servicio Exterior</t>
  </si>
  <si>
    <t>Dirección General de Relaciones Económicas Internacionales</t>
  </si>
  <si>
    <t>Dirección de Fronteras y Límites del Estado</t>
  </si>
  <si>
    <t>Instituto Antártico Chileno</t>
  </si>
  <si>
    <t>Agencia de Cooperación Internacional de Chile</t>
  </si>
  <si>
    <t>Subsecretaria de Relaciones Economicas Internacionales</t>
  </si>
  <si>
    <t>Dirección General de Promoción de Exportaciones</t>
  </si>
  <si>
    <t xml:space="preserve"> MINISTERIO DE ECONOMÍA, FOMENTO Y TURISMO </t>
  </si>
  <si>
    <t xml:space="preserve"> Subsecretaría de Economía y Empresas de Menor Tamaño </t>
  </si>
  <si>
    <t xml:space="preserve"> Servicio Nacional del Consumidor </t>
  </si>
  <si>
    <t xml:space="preserve"> Subsecretaría de Pesca </t>
  </si>
  <si>
    <t xml:space="preserve"> Servicio Nacional de Pesca </t>
  </si>
  <si>
    <t xml:space="preserve"> Corporación de Fomento de la Producción </t>
  </si>
  <si>
    <t xml:space="preserve"> Instituto Nacional de Estadísticas </t>
  </si>
  <si>
    <t xml:space="preserve"> Fiscalía Nacional Económica </t>
  </si>
  <si>
    <t xml:space="preserve"> Servicio Nacional de Turismo </t>
  </si>
  <si>
    <t xml:space="preserve"> Servicio de Cooperación Técnica </t>
  </si>
  <si>
    <t>Cómite Innova Chile</t>
  </si>
  <si>
    <t>Agencia de Promoción de la Inversión Extranjera</t>
  </si>
  <si>
    <t xml:space="preserve"> Instituto Nacional de Propiedad Industrial </t>
  </si>
  <si>
    <t xml:space="preserve"> Subsecretaría de Turismo </t>
  </si>
  <si>
    <t>Superintendencia de Insolvencia y Reemprendimiento</t>
  </si>
  <si>
    <t>Instituto Nacional de desarrollo sustentable de la Pesca Artesanal y Acuicultura</t>
  </si>
  <si>
    <t xml:space="preserve"> MINISTERIO DE HACIENDA </t>
  </si>
  <si>
    <t xml:space="preserve"> Secretaría y Administración General </t>
  </si>
  <si>
    <t xml:space="preserve"> Dirección de Presupuestos </t>
  </si>
  <si>
    <t xml:space="preserve"> Servicio de Impuestos Internos </t>
  </si>
  <si>
    <t xml:space="preserve"> Servicio Nacional de Aduanas </t>
  </si>
  <si>
    <t xml:space="preserve"> Servicio de Tesorerías </t>
  </si>
  <si>
    <t xml:space="preserve"> Dirección de Compras y Contratación Pública </t>
  </si>
  <si>
    <t xml:space="preserve"> Superintendencia de Valores y Seguros </t>
  </si>
  <si>
    <t xml:space="preserve"> Dirección Nacional del Servicio Civil </t>
  </si>
  <si>
    <t xml:space="preserve"> Unidad de Análisis Financiero </t>
  </si>
  <si>
    <t xml:space="preserve"> Superintendencia de Casinos de Juego </t>
  </si>
  <si>
    <t xml:space="preserve"> Consejo de Defensa del Estado </t>
  </si>
  <si>
    <t xml:space="preserve">Comisión para el Mercado Financiero                 </t>
  </si>
  <si>
    <t>Defensoría del Contribuyente</t>
  </si>
  <si>
    <t xml:space="preserve"> MINISTERIO DE EDUCACIÓN </t>
  </si>
  <si>
    <t xml:space="preserve">  Subsecretaría de Educación </t>
  </si>
  <si>
    <t xml:space="preserve">  Superintendencia de Educación</t>
  </si>
  <si>
    <t xml:space="preserve"> Agencia de Calidad de la Educación</t>
  </si>
  <si>
    <t xml:space="preserve">Subsecretaría de Educación Parvularia                                                                                                                                                                                                                     </t>
  </si>
  <si>
    <t xml:space="preserve"> Dirección de Bibliotecas, Archivos y Museos </t>
  </si>
  <si>
    <t xml:space="preserve"> Comisión Nacional de Investigación Científica y Tecnológica </t>
  </si>
  <si>
    <t xml:space="preserve"> Junta Nacional de Auxilio Escolar y Becas </t>
  </si>
  <si>
    <t xml:space="preserve"> Junta Nacional de Jardines Infantiles </t>
  </si>
  <si>
    <t>Consejo de Rectores</t>
  </si>
  <si>
    <t xml:space="preserve"> Consejo Nacional de Educación </t>
  </si>
  <si>
    <t xml:space="preserve"> Consejo Nacional de la Cultura y las Artes </t>
  </si>
  <si>
    <t xml:space="preserve">Dirección de Educación Pública                                                                                                                                                                                                                            </t>
  </si>
  <si>
    <t xml:space="preserve">Servicio Local de Educación Barrancas                                                                                                                                                                                                                     </t>
  </si>
  <si>
    <t xml:space="preserve">Servicio Local de Educación Puerto Cordillera                                                                                                                                                                                                             </t>
  </si>
  <si>
    <t xml:space="preserve">Servicio Local de Educación Huasco                                                                                                                                                                                                                        </t>
  </si>
  <si>
    <t xml:space="preserve">Servicio Local de Educación Costa Araucanía                                                                                                                                                                                                               </t>
  </si>
  <si>
    <t>Servicio Local de Educación Chinchorro</t>
  </si>
  <si>
    <t>Servicio Local de Educación Gabriela Mistral</t>
  </si>
  <si>
    <t>Servicio Local de Educación Andalien Sur</t>
  </si>
  <si>
    <t xml:space="preserve">Servicio Local de Educación Atacama                                                                                                                                                                                                                       </t>
  </si>
  <si>
    <t xml:space="preserve">Servicio Local de Educación Valparaíso                                                                                                                                                                                                                    </t>
  </si>
  <si>
    <t xml:space="preserve">Servicio Local de Educación Colchagua                                                                                                                                                                                                                     </t>
  </si>
  <si>
    <t xml:space="preserve">Servicio Local de Educación Llanquihue                                                                                                                                                                                                                    </t>
  </si>
  <si>
    <t xml:space="preserve">Servicio Local de Educación Iquique                                                                                                                                                                                                                       </t>
  </si>
  <si>
    <t>Servicio Local de Educación Licancabur</t>
  </si>
  <si>
    <t>Servicio Local de Educación Maule Costa</t>
  </si>
  <si>
    <t xml:space="preserve">Servicio Local de Educación Punilla Cordillera                                                                                                                                                                                                            </t>
  </si>
  <si>
    <t xml:space="preserve">Servicio Local de Educación Aysén                                                                                                                                                                                                                         </t>
  </si>
  <si>
    <t xml:space="preserve">Servicio Local de Educación Magallanes                                                                                                                                                                                                                    </t>
  </si>
  <si>
    <t>Servicio Local de Educación Tamarugal</t>
  </si>
  <si>
    <t>Servicio Local de Educación Elqui</t>
  </si>
  <si>
    <t>Servicio Local de Educación Costa Central</t>
  </si>
  <si>
    <t>Servicio Local de Educación Marga Marga</t>
  </si>
  <si>
    <t>Servicio Local de Educación Los Libertadores</t>
  </si>
  <si>
    <t>Servicio Local de Educación Santa Rosa</t>
  </si>
  <si>
    <t>Servicio Local de Educación Santa Corina</t>
  </si>
  <si>
    <t>Servicio Local de Educación del Pino</t>
  </si>
  <si>
    <t>Servicio Local de Educación Andalién Costa</t>
  </si>
  <si>
    <t>Servicio Local de Educación Valdivia</t>
  </si>
  <si>
    <t>Servicio Local de Educación Antofagasta</t>
  </si>
  <si>
    <t>Servicio Local de Educación Los Parques</t>
  </si>
  <si>
    <t>Servicio Local de Educación Chiloé</t>
  </si>
  <si>
    <t>Subsecretaría de Educación Superior</t>
  </si>
  <si>
    <t>Superintendencia de Educación Superior</t>
  </si>
  <si>
    <t xml:space="preserve"> MINISTERIO DE JUSTICIA </t>
  </si>
  <si>
    <t>Servicio de Registro Civil e Identificación</t>
  </si>
  <si>
    <t xml:space="preserve"> Servicio Médico Legal </t>
  </si>
  <si>
    <t xml:space="preserve"> Gendarmería de Chile </t>
  </si>
  <si>
    <t xml:space="preserve">Subsecretaría de Derechos Humanos           </t>
  </si>
  <si>
    <t xml:space="preserve"> Servicio Nacional de Menores </t>
  </si>
  <si>
    <t xml:space="preserve"> Defensoría Penal Pública </t>
  </si>
  <si>
    <t>Servicio Nacional de Reinserción Social Juvenil</t>
  </si>
  <si>
    <t xml:space="preserve"> MINISTERIO DE DEFENSA NACIONAL </t>
  </si>
  <si>
    <t xml:space="preserve"> Ejército de Chile </t>
  </si>
  <si>
    <t xml:space="preserve"> Armada de Chile </t>
  </si>
  <si>
    <t xml:space="preserve"> Fuerza Aérea de Chile </t>
  </si>
  <si>
    <t xml:space="preserve"> Dirección General de Movilización Nacional </t>
  </si>
  <si>
    <t xml:space="preserve"> Instituto Geográfico Militar </t>
  </si>
  <si>
    <t xml:space="preserve"> Servicio Hidrográfico y Oceanográfico de la Armada de Chile </t>
  </si>
  <si>
    <t xml:space="preserve"> Servicio Aerofotogramétrico de la FACH </t>
  </si>
  <si>
    <t xml:space="preserve"> Subsecretaría para las Fuerzas Armadas </t>
  </si>
  <si>
    <t xml:space="preserve"> Subsecretaría de Defensa </t>
  </si>
  <si>
    <t xml:space="preserve"> Estado Mayor Conjunto </t>
  </si>
  <si>
    <t xml:space="preserve"> MINISTERIO DE OBRAS PÚBLICAS </t>
  </si>
  <si>
    <t xml:space="preserve"> Dirección General de Obras Públicas </t>
  </si>
  <si>
    <t xml:space="preserve">Dirección General de Concesiones de Obras Públicas                                                                                                                                                                                                        </t>
  </si>
  <si>
    <t xml:space="preserve"> Dirección General de Aguas </t>
  </si>
  <si>
    <t xml:space="preserve"> Instituto Nacional de Hidráulica </t>
  </si>
  <si>
    <t xml:space="preserve"> Superintendencia de Servicios Sanitarios </t>
  </si>
  <si>
    <t xml:space="preserve"> MINISTERIO DE AGRICULTURA </t>
  </si>
  <si>
    <t xml:space="preserve"> Subsecretaría de Agricultura </t>
  </si>
  <si>
    <t xml:space="preserve"> Oficina de Estudios y Políticas Agrarias </t>
  </si>
  <si>
    <t xml:space="preserve"> Instituto de Desarrollo Agropecuario </t>
  </si>
  <si>
    <t xml:space="preserve"> Servicio Agrícola y Ganadero </t>
  </si>
  <si>
    <t xml:space="preserve"> Corporación Nacional Forestal </t>
  </si>
  <si>
    <t xml:space="preserve"> Comisión Nacional de Riego </t>
  </si>
  <si>
    <t xml:space="preserve"> MINISTERIO DE BIENES NACIONALES </t>
  </si>
  <si>
    <t xml:space="preserve"> Subsecretaría de Bienes Nacionales </t>
  </si>
  <si>
    <t xml:space="preserve"> MINISTERIO DEL TRABAJO Y PREVISIÓN SOCIAL </t>
  </si>
  <si>
    <t xml:space="preserve"> Subsecretaría del Trabajo </t>
  </si>
  <si>
    <t xml:space="preserve"> Dirección del Trabajo </t>
  </si>
  <si>
    <t xml:space="preserve"> Subsecretaría de Previsión Social </t>
  </si>
  <si>
    <t xml:space="preserve">Dirección General de Crédito Prendario                                                                                                                                                                                                                    </t>
  </si>
  <si>
    <t xml:space="preserve"> Servicio Nacional de Capacitación y Empleo </t>
  </si>
  <si>
    <t xml:space="preserve"> Superintendencia de Seguridad Social </t>
  </si>
  <si>
    <t xml:space="preserve"> Superintendencia de Pensiones </t>
  </si>
  <si>
    <t xml:space="preserve"> Instituto de Previsión Social </t>
  </si>
  <si>
    <t xml:space="preserve"> Caja de Previsión de la Defensa Nacional </t>
  </si>
  <si>
    <t xml:space="preserve"> Dirección de Previsión de Carabineros de Chile </t>
  </si>
  <si>
    <t xml:space="preserve"> MINISTERIO DE SALUD </t>
  </si>
  <si>
    <t xml:space="preserve"> Fondo Nacional de Salud </t>
  </si>
  <si>
    <t xml:space="preserve"> Instituto de Salud Pública de Chile </t>
  </si>
  <si>
    <t xml:space="preserve"> Subsecretaría de Salud Pública </t>
  </si>
  <si>
    <t xml:space="preserve"> Subsecretaría de Redes Asistenciales </t>
  </si>
  <si>
    <t xml:space="preserve"> Superintendencia de Salud </t>
  </si>
  <si>
    <t xml:space="preserve"> MINISTERIO DE MINERÍA </t>
  </si>
  <si>
    <t xml:space="preserve"> Comisión Chilena del Cobre </t>
  </si>
  <si>
    <t xml:space="preserve"> Servicio Nacional de Geología y Minería </t>
  </si>
  <si>
    <t xml:space="preserve"> MINISTERIO DE VIVIENDA Y URBANISMO </t>
  </si>
  <si>
    <t xml:space="preserve"> Subsecretaría de Vivienda y Urbanismo </t>
  </si>
  <si>
    <t xml:space="preserve"> Parque Metropolitano </t>
  </si>
  <si>
    <t xml:space="preserve"> Serviu I Región </t>
  </si>
  <si>
    <t xml:space="preserve"> Serviu II Región </t>
  </si>
  <si>
    <t xml:space="preserve"> Serviu III Región </t>
  </si>
  <si>
    <t xml:space="preserve"> Serviu IV Región </t>
  </si>
  <si>
    <t xml:space="preserve"> Serviu V Región </t>
  </si>
  <si>
    <t xml:space="preserve"> Serviu VI Región </t>
  </si>
  <si>
    <t xml:space="preserve"> Serviu VII Región </t>
  </si>
  <si>
    <t xml:space="preserve"> Serviu VIII Región </t>
  </si>
  <si>
    <t xml:space="preserve"> Serviu IX Región </t>
  </si>
  <si>
    <t xml:space="preserve"> Serviu X Región </t>
  </si>
  <si>
    <t xml:space="preserve"> Serviu XI Región </t>
  </si>
  <si>
    <t xml:space="preserve"> Serviu XII Región </t>
  </si>
  <si>
    <t xml:space="preserve"> Serviu Región Metropolitana </t>
  </si>
  <si>
    <t xml:space="preserve"> Serviu XIV Región </t>
  </si>
  <si>
    <t xml:space="preserve"> Serviu XV Región </t>
  </si>
  <si>
    <t xml:space="preserve"> Serviu XVI Región </t>
  </si>
  <si>
    <t xml:space="preserve"> MINISTERIO DE TRANSPORTES Y TELECOMUNICACIONES </t>
  </si>
  <si>
    <t xml:space="preserve"> Secretaría y Administración General de Transportes </t>
  </si>
  <si>
    <t xml:space="preserve"> Subsecretaría de Telecomunicaciones </t>
  </si>
  <si>
    <t xml:space="preserve"> Junta Aeronáutica Civil </t>
  </si>
  <si>
    <t xml:space="preserve"> MINISTERIO SECRETARIA GENERAL DE GOBIERNO </t>
  </si>
  <si>
    <t xml:space="preserve"> Secretaría General de Gobierno </t>
  </si>
  <si>
    <t xml:space="preserve"> Consejo Nacional de Televisión </t>
  </si>
  <si>
    <t xml:space="preserve"> Instituto Nacional de Deportes </t>
  </si>
  <si>
    <t> MINISTERIO DE DESARROLLO SOCIAL</t>
  </si>
  <si>
    <t> Subsecretaría de Servicios Sociales</t>
  </si>
  <si>
    <t xml:space="preserve"> Fondo de Solidaridad e Inversión Social </t>
  </si>
  <si>
    <t xml:space="preserve"> Servicio Nacional de la Mujer </t>
  </si>
  <si>
    <t xml:space="preserve"> Instituto Nacional de la Juventud </t>
  </si>
  <si>
    <t xml:space="preserve"> Corporación Nacional de Desarrollo Indígena </t>
  </si>
  <si>
    <t xml:space="preserve"> Servicio Nacional de la Discapacidad </t>
  </si>
  <si>
    <t xml:space="preserve"> Servicio Nacional del Adulto Mayor </t>
  </si>
  <si>
    <t> Subsecretaría de Evaluación Social</t>
  </si>
  <si>
    <t xml:space="preserve">Subsecretaría de la Niñez                                                                                                                                                                                                                                 </t>
  </si>
  <si>
    <t xml:space="preserve">Servicio Nacional de Protección Especializada a la Niñez y Adolescencia                                                                                                                                                                                   </t>
  </si>
  <si>
    <t xml:space="preserve"> MINISTERIO SECRETARIA GENERAL DE LA PRESIDENCIA DE LA REPÚBLICA </t>
  </si>
  <si>
    <t xml:space="preserve"> Secretaría General de la Presidencia de la República </t>
  </si>
  <si>
    <t xml:space="preserve"> MINISTERIO PÚBLICO </t>
  </si>
  <si>
    <t xml:space="preserve"> Ministerio Público </t>
  </si>
  <si>
    <t xml:space="preserve"> MINISTERIO DE ENERGÍA </t>
  </si>
  <si>
    <t xml:space="preserve"> Subsecretaría de Energía </t>
  </si>
  <si>
    <t xml:space="preserve"> Comisión Nacional de Energía </t>
  </si>
  <si>
    <t xml:space="preserve"> Comisión Chilena de Energía Nuclear </t>
  </si>
  <si>
    <t xml:space="preserve"> Superintendencia de Electricidad y Combustibles </t>
  </si>
  <si>
    <t xml:space="preserve"> MINISTERIO DEL MEDIO AMBIENTE </t>
  </si>
  <si>
    <t xml:space="preserve"> Subsecretaría de Medio Ambiente </t>
  </si>
  <si>
    <t xml:space="preserve"> Servicio de Evaluación Ambiental </t>
  </si>
  <si>
    <t xml:space="preserve"> Superintendencia del Medio Ambiente </t>
  </si>
  <si>
    <t>Servicio de Biodiversidad y Áreas Protegidas</t>
  </si>
  <si>
    <t>MINISTERIO DEL DEPORTE</t>
  </si>
  <si>
    <t>Subsecretaría del Deporte</t>
  </si>
  <si>
    <t>Instituto Nacional del Deporte</t>
  </si>
  <si>
    <t xml:space="preserve">MINISTERIO DE LA MUJER Y EQUIDAD DE GÉNERO                                      </t>
  </si>
  <si>
    <t xml:space="preserve">Subsecretaría de la Mujer y Equidad de Género                                                                                                                                                                                                             </t>
  </si>
  <si>
    <t xml:space="preserve">Servicio Nacional de la Mujer y Equidad de Género                                                                                                                                                                                                         </t>
  </si>
  <si>
    <t xml:space="preserve">SERVICIO ELECTORAL                                                              </t>
  </si>
  <si>
    <t xml:space="preserve">Servicio Electoral                          </t>
  </si>
  <si>
    <t xml:space="preserve">MINISTERIO DE LAS CULTURAS, LAS ARTES Y EL PATRIMONIO                           </t>
  </si>
  <si>
    <t xml:space="preserve">Subsecretaría de las Culturas y las Artes                                                                                                                                                                                                                 </t>
  </si>
  <si>
    <t xml:space="preserve">Subsecretaría del Patrimonio Cultural                                                                                                                                                                                                                     </t>
  </si>
  <si>
    <t xml:space="preserve">Servicio Nacional del Patrimonio Cultural                                                                                                                                                                                                                 </t>
  </si>
  <si>
    <t xml:space="preserve">MINISTERIO DE CIENCIA, TECNOLOGÍA, CONOCIMIENTO E INNOVACIÓN            </t>
  </si>
  <si>
    <t>Subsecretaría de Ciencia, Tecnología, Conocimiento e Innovación</t>
  </si>
  <si>
    <t>Agencia  de Ciencia, Tecnología, Conocimiento e Innovación</t>
  </si>
  <si>
    <t>GOBIERNOS REGIONALES</t>
  </si>
  <si>
    <t>Programas de Funcionamiento</t>
  </si>
  <si>
    <t>Programas de Inversión Regional</t>
  </si>
  <si>
    <t>Bienes y Servicios de Consumo</t>
  </si>
  <si>
    <t>Transferencias Corriente</t>
  </si>
  <si>
    <t>Adquisición de Activos Financieros</t>
  </si>
  <si>
    <t>Transferencias de Capital</t>
  </si>
  <si>
    <t>Bienes y Servicios</t>
  </si>
  <si>
    <t>Transferencias Corrientes</t>
  </si>
  <si>
    <t>Préstamos</t>
  </si>
  <si>
    <t>Total</t>
  </si>
  <si>
    <t>D. RESUMEN DE LA DEUDA PÚBLICA DEL TESORO PÚBLICO</t>
  </si>
  <si>
    <t xml:space="preserve">DEUDA PÚBLICA </t>
  </si>
  <si>
    <t>SALDO AL 31 DE DICIEMBRE  2024</t>
  </si>
  <si>
    <t>(millones de pesos)</t>
  </si>
  <si>
    <t>INTERNA</t>
  </si>
  <si>
    <t>EXTERNA</t>
  </si>
  <si>
    <t>Detalle</t>
  </si>
  <si>
    <t>Saldos</t>
  </si>
  <si>
    <t>Distribución porcentual</t>
  </si>
  <si>
    <t>Saldos     Totales</t>
  </si>
  <si>
    <t>Directa</t>
  </si>
  <si>
    <t>Indirecta *</t>
  </si>
  <si>
    <t>%</t>
  </si>
  <si>
    <t>* Deuda con garantía del Fisco/Tesoro Público (Estado).</t>
  </si>
  <si>
    <t>Gráfico N°1</t>
  </si>
  <si>
    <t>SALDOS DEUDA PÚBLICA AL 31 DE DICIEMBE 2024</t>
  </si>
  <si>
    <t>STOCK DE DEUDA PÚBLICA INTERNA Y EXTERNA</t>
  </si>
  <si>
    <t>COMPARATIVO 2023 / 2024</t>
  </si>
  <si>
    <t>Indirecta</t>
  </si>
  <si>
    <t>T/C 30-12-2024</t>
  </si>
  <si>
    <t>E. STOCK DE INVERSIONES DEL TESORO PÚBLICO</t>
  </si>
  <si>
    <t>T/C 30-12-2023</t>
  </si>
  <si>
    <t>SALDO AL 31 DE DICIEMBRE</t>
  </si>
  <si>
    <t>T/C 30-12-2022</t>
  </si>
  <si>
    <t xml:space="preserve">                           2022</t>
  </si>
  <si>
    <t xml:space="preserve">                           2023</t>
  </si>
  <si>
    <t xml:space="preserve">                           2024</t>
  </si>
  <si>
    <t>Inversiones del Tesoro</t>
  </si>
  <si>
    <t>Subtotal Otros Activos TP</t>
  </si>
  <si>
    <t>Fondo de Educación (FE)</t>
  </si>
  <si>
    <t>Fondo Tratamiento Alto Costo (TAC)</t>
  </si>
  <si>
    <t>Fondo de Apoyo Regional (FAR)</t>
  </si>
  <si>
    <t>Subtotal Fondos Especiales</t>
  </si>
  <si>
    <t>Fondo de Reserva de Pensiones (FRP)</t>
  </si>
  <si>
    <t>Fondo de Estabilización Económica y Social (FEES)</t>
  </si>
  <si>
    <t>Subtotal Fondos Soberanos</t>
  </si>
  <si>
    <t>TOTAL INVERSIONES MM$</t>
  </si>
  <si>
    <t>TOTAL INVERSIONES MUS$</t>
  </si>
  <si>
    <t>SALDOS AL 31 DE DICIEMBRE POR MERCADO</t>
  </si>
  <si>
    <t>MERCADO LOCAL</t>
  </si>
  <si>
    <t xml:space="preserve">     - Inversiones del Tesoro</t>
  </si>
  <si>
    <t xml:space="preserve">     - Fondos Especiales</t>
  </si>
  <si>
    <t xml:space="preserve">     - Fondos Soberanos</t>
  </si>
  <si>
    <t>Subtotal Mercado Local</t>
  </si>
  <si>
    <t>MERCADO INTERNACIONAL</t>
  </si>
  <si>
    <t>TOTAL INVERSIONES</t>
  </si>
  <si>
    <t>Elaboración propia División Finanzas Públicas.</t>
  </si>
  <si>
    <r>
      <rPr>
        <sz val="8"/>
        <color theme="1"/>
        <rFont val="Calibri"/>
      </rPr>
      <t>Para la conversión de las cifras, se utilizó el tipo de cambio del último día mes de diciembre de cada año. Período 2024 por un valor</t>
    </r>
    <r>
      <rPr>
        <sz val="8"/>
        <color theme="1"/>
        <rFont val="Calibri"/>
      </rPr>
      <t xml:space="preserve"> de $992,12; período 2023 por un valor de $884,59; período 2022 por valor de $859,51.</t>
    </r>
  </si>
  <si>
    <t>D.1 DEUDA PÚBLICA INTERNA DEL TESORO PÚBLICO</t>
  </si>
  <si>
    <t>D.1.1 DIRECTA POR TIPO DE DOCUMENTO</t>
  </si>
  <si>
    <t xml:space="preserve">(miles de pesos)* </t>
  </si>
  <si>
    <t>DETALLE</t>
  </si>
  <si>
    <t>Saldo al 31.12.23</t>
  </si>
  <si>
    <t>Saldo al 31.12.24</t>
  </si>
  <si>
    <t>% Variación 23/24</t>
  </si>
  <si>
    <t>BTU0000325</t>
  </si>
  <si>
    <t>BTU0260925</t>
  </si>
  <si>
    <t>BTU0150326</t>
  </si>
  <si>
    <t>BTU0300327</t>
  </si>
  <si>
    <t>BTU0300328</t>
  </si>
  <si>
    <t>BTU0001028</t>
  </si>
  <si>
    <t>BTU0300329</t>
  </si>
  <si>
    <t>BTU0300130</t>
  </si>
  <si>
    <t>BTU0190930</t>
  </si>
  <si>
    <t>BTU0300132</t>
  </si>
  <si>
    <t>BTU0001033</t>
  </si>
  <si>
    <t>BTU0300134</t>
  </si>
  <si>
    <t>BTU0200335</t>
  </si>
  <si>
    <t>BTU0300338</t>
  </si>
  <si>
    <t>BTU0300339</t>
  </si>
  <si>
    <t>BTU0300140</t>
  </si>
  <si>
    <t>BTU0300142</t>
  </si>
  <si>
    <t>BTU0300144</t>
  </si>
  <si>
    <t>BTU0210750</t>
  </si>
  <si>
    <t>BTU0281155</t>
  </si>
  <si>
    <t>BTU0341039</t>
  </si>
  <si>
    <t>SUBTOTAL BONOS DE LA TESORERIA GENERAL EN PESOS (BTU)</t>
  </si>
  <si>
    <t>BTP0250325</t>
  </si>
  <si>
    <t>BTP0450326</t>
  </si>
  <si>
    <t>BTP0000527</t>
  </si>
  <si>
    <t>BTP0491127</t>
  </si>
  <si>
    <t>BTP0000429</t>
  </si>
  <si>
    <t>BTP0581029</t>
  </si>
  <si>
    <t>BTP0470930</t>
  </si>
  <si>
    <t>BTP0600132</t>
  </si>
  <si>
    <t>BTP0600134</t>
  </si>
  <si>
    <t>BTP0500335</t>
  </si>
  <si>
    <t>BTP0600143</t>
  </si>
  <si>
    <t>BTP0510750</t>
  </si>
  <si>
    <t>BTP0610456</t>
  </si>
  <si>
    <t>BTP0581034</t>
  </si>
  <si>
    <t>BTP0531137</t>
  </si>
  <si>
    <t>BTP0231028</t>
  </si>
  <si>
    <t>BTP0501028</t>
  </si>
  <si>
    <t>BTP0600433</t>
  </si>
  <si>
    <t>BTP0281033</t>
  </si>
  <si>
    <t>BTP0621040</t>
  </si>
  <si>
    <t>BTP0700534</t>
  </si>
  <si>
    <t>SUBTOTAL LETRAS EN PESOS</t>
  </si>
  <si>
    <t>Pagaré Reajustable Tesorería  Serie  " U"</t>
  </si>
  <si>
    <t xml:space="preserve">Ley 18.412  B.E      D.H.  1849/99 </t>
  </si>
  <si>
    <t xml:space="preserve">Ley 18.412  B.E      D.H.    521/03 </t>
  </si>
  <si>
    <t>Ley 18.412  B.E.     D.H.      8/05</t>
  </si>
  <si>
    <t>Ley 18.412  B.E.     D.H.      9/05</t>
  </si>
  <si>
    <t>Ley 18.412  B.E.     D.H.   247/06</t>
  </si>
  <si>
    <t>Ley 18.412  B.E.     D.H.   779/07</t>
  </si>
  <si>
    <t>Ley 18.412  B.E.     D.H.   1410/08</t>
  </si>
  <si>
    <t>Ley 18.412  B.E.     D.H.   267/09</t>
  </si>
  <si>
    <t>Ley 18.412  B.E.     D.H.   1445/09</t>
  </si>
  <si>
    <t>Ley 18.412  B.E.     D.H.   1533/10</t>
  </si>
  <si>
    <t>SUBTOTAL PAGARES REAJUSTABLES PAGADEROS EN PESOS</t>
  </si>
  <si>
    <t>PAGARES DE LA REFORMA AGRARIA EN PESOS</t>
  </si>
  <si>
    <t>BONOS DE LA REFORMA AGRARIA EN PESOS</t>
  </si>
  <si>
    <t>PAGARES BIENES CONFISCADOS EN PESOS</t>
  </si>
  <si>
    <t>BONOS COLOCADOS EN EL EXTERIOR/DCTO 567/2010</t>
  </si>
  <si>
    <t>BONOS COLOCADOS EN EL EXTERIOR/DCTO 1105/2011</t>
  </si>
  <si>
    <t>*  Para la conversión de las cifras, se utilizó el valor de la UF al 31 de Diciembre de 2024 por un valor de $38.416,69 y el tipo de cambio del día 30 de diciembre de 202 por un valor de $992,12.</t>
  </si>
  <si>
    <t>D.1.2 INDIRECTA POR DEUDOR</t>
  </si>
  <si>
    <t xml:space="preserve">(millones de pesos)* </t>
  </si>
  <si>
    <t>Moneda</t>
  </si>
  <si>
    <t>FF.CC. Del Estado</t>
  </si>
  <si>
    <t>UF</t>
  </si>
  <si>
    <t>Metro</t>
  </si>
  <si>
    <t>Universidad de Chile</t>
  </si>
  <si>
    <t>Créditos de Educacion Superior</t>
  </si>
  <si>
    <t>TVN</t>
  </si>
  <si>
    <t xml:space="preserve">Empresa Nacional de  Aeronautica </t>
  </si>
  <si>
    <t>Dólar</t>
  </si>
  <si>
    <t xml:space="preserve"> Para la conversión de las cifras, se utilizó el valor de la UF al 31 de Diciembre de 2024 por un valor de $38.416,69 y el tipo de cambio del día 30 de diciembre de 2023 por un valor de $992,12.</t>
  </si>
  <si>
    <t>D.2. DEUDA PÚBLICA EXTERNA DEL TESORO PÚBLICO</t>
  </si>
  <si>
    <t>D.2.1 DIRECTA POR ACREEDOR</t>
  </si>
  <si>
    <t>Saldo al 30.12.24</t>
  </si>
  <si>
    <t>% Var.  23/24</t>
  </si>
  <si>
    <t>Organismos Multinacionales Oficiales</t>
  </si>
  <si>
    <t>Organismos Gubernamentales (No Reestructurados)</t>
  </si>
  <si>
    <t>Empréstitos de otros acreedores</t>
  </si>
  <si>
    <t>Bonos Emitidos en el Exterior</t>
  </si>
  <si>
    <t xml:space="preserve">Elaboración propia División Finanzas Públicas. </t>
  </si>
  <si>
    <t>Para la conversión de las cifras, se utilizó el valor del dólar al 30 de Diciembre de 2023 y 30 de Diciembre 2024 por un valor de $884,59 y $992,12 respectivamente.</t>
  </si>
  <si>
    <t>DEUDA PUBLICA EXTERNA DEL TESORO</t>
  </si>
  <si>
    <t>DETALLE POR BANCO</t>
  </si>
  <si>
    <t>BANCO</t>
  </si>
  <si>
    <t>BID</t>
  </si>
  <si>
    <t>BIRF</t>
  </si>
  <si>
    <t>Total Organismos Multinacionales Oficiales</t>
  </si>
  <si>
    <t>KFW</t>
  </si>
  <si>
    <t>Natixis Banque</t>
  </si>
  <si>
    <t>SIDA</t>
  </si>
  <si>
    <t>ICO</t>
  </si>
  <si>
    <t xml:space="preserve"> Banca Nazionale del Lavoro </t>
  </si>
  <si>
    <t>Total Organismos Gubernamentales (No Reestructurados)</t>
  </si>
  <si>
    <t>Bono Soberano JP Morgan Chase Bank</t>
  </si>
  <si>
    <t>Bono Soberano Deutsche Bank Securities / HSBC</t>
  </si>
  <si>
    <t>Bono Soberano the Bank of New York Mellon</t>
  </si>
  <si>
    <t>Bono Soberano Citigroup, HSBC y Santander</t>
  </si>
  <si>
    <t>Bono Soberano Citigroup, Merril Lynch</t>
  </si>
  <si>
    <t>Total Bonos Emitidos en el Exterior</t>
  </si>
  <si>
    <t>Dif.</t>
  </si>
  <si>
    <t>D.2 DEUDA PÚBLICA EXTERNA DEL TESORO PÚBLICO</t>
  </si>
  <si>
    <t>D.2.2 DIRECTA SEGÚN AREAS GEOGRÁFICAS</t>
  </si>
  <si>
    <t>Areas de los Acreedores</t>
  </si>
  <si>
    <t>Norteamérica</t>
  </si>
  <si>
    <t>Europa</t>
  </si>
  <si>
    <t>Multinacionales</t>
  </si>
  <si>
    <t>Gráfico N° 7</t>
  </si>
  <si>
    <t>CORPORATIVO DE LOS SALDOS</t>
  </si>
  <si>
    <t>31 de Diciembre 2023</t>
  </si>
  <si>
    <t>31 de Diciembre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</si>
</sst>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 * #,##0_ ;_ * \-#,##0_ ;_ * &quot;-&quot;_ ;_ @_ "/>
    <numFmt numFmtId="43" formatCode="_ * #,##0.00_ ;_ * \-#,##0.00_ ;_ * &quot;-&quot;??_ ;_ @_ "/>
    <numFmt numFmtId="164" formatCode="#,##0;[Red]\(#,##0\);&quot;-&quot;"/>
    <numFmt numFmtId="165" formatCode="#,##0;\(#,##0\)"/>
    <numFmt numFmtId="166" formatCode="_-* #,##0_-;\-* #,##0_-;_-* &quot;-&quot;??_-;_-@"/>
    <numFmt numFmtId="167" formatCode="#,##0.0;\(#,##0.0\);&quot;-&quot;"/>
    <numFmt numFmtId="168" formatCode="#,##0;[Red]\(#,##0\)"/>
    <numFmt numFmtId="169" formatCode="#,##0.00;[Red]\(#,##0.00\);&quot;-&quot;"/>
    <numFmt numFmtId="170" formatCode="#,##0.0;[Red]\(#,##0.0\);&quot;-&quot;"/>
    <numFmt numFmtId="171" formatCode="#,##0.0;[Red]#,##0.0"/>
    <numFmt numFmtId="172" formatCode="#,##0;[Red]\-#,##0;&quot;-&quot;"/>
    <numFmt numFmtId="173" formatCode="0.0;[Red]\(0.0\);&quot;-&quot;"/>
    <numFmt numFmtId="174" formatCode="#,##0.0;[Red]\-#,##0.0;&quot;-&quot;"/>
    <numFmt numFmtId="175" formatCode="#,##0_ ;\-#,##0\ "/>
    <numFmt numFmtId="176" formatCode="#,##0.0_ ;\-#,##0.0\ "/>
    <numFmt numFmtId="177" formatCode="0.0"/>
    <numFmt numFmtId="178" formatCode="_-* #,##0_-;\-* #,##0_-;_-* &quot;-&quot;??_-;_-@_-"/>
  </numFmts>
  <fonts count="40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b/>
      <sz val="11"/>
      <color theme="0"/>
      <name val="Calibri"/>
    </font>
    <font>
      <sz val="9"/>
      <color theme="1"/>
      <name val="Calibri"/>
    </font>
    <font>
      <sz val="9"/>
      <color theme="0"/>
      <name val="Calibri"/>
    </font>
    <font>
      <b/>
      <sz val="10"/>
      <color theme="1"/>
      <name val="Calibri"/>
    </font>
    <font>
      <b/>
      <sz val="9"/>
      <color theme="1"/>
      <name val="Calibri"/>
    </font>
    <font>
      <sz val="8"/>
      <color theme="1"/>
      <name val="Calibri"/>
    </font>
    <font>
      <sz val="10"/>
      <color theme="1"/>
      <name val="Calibri"/>
    </font>
    <font>
      <b/>
      <sz val="8"/>
      <color theme="1"/>
      <name val="Calibri"/>
    </font>
    <font>
      <b/>
      <sz val="10"/>
      <color rgb="FFFF0000"/>
      <name val="Calibri"/>
    </font>
    <font>
      <b/>
      <sz val="9"/>
      <color theme="0"/>
      <name val="Calibri"/>
    </font>
    <font>
      <sz val="8"/>
      <color theme="0"/>
      <name val="Calibri"/>
    </font>
    <font>
      <b/>
      <sz val="9"/>
      <color rgb="FFFF0000"/>
      <name val="Calibri"/>
    </font>
    <font>
      <sz val="7"/>
      <color theme="1"/>
      <name val="Calibri"/>
    </font>
    <font>
      <b/>
      <sz val="10"/>
      <color theme="0"/>
      <name val="Calibri"/>
    </font>
    <font>
      <b/>
      <u/>
      <sz val="9"/>
      <color theme="1"/>
      <name val="Calibri"/>
    </font>
    <font>
      <sz val="8"/>
      <color theme="1"/>
      <name val="Arial"/>
    </font>
    <font>
      <sz val="9"/>
      <color theme="1"/>
      <name val="Arial"/>
    </font>
    <font>
      <sz val="9"/>
      <color rgb="FFFF0000"/>
      <name val="Calibri"/>
    </font>
    <font>
      <sz val="11"/>
      <color theme="1"/>
      <name val="Calibri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333F4F"/>
        <bgColor rgb="FF333F4F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FF3F3F"/>
        <bgColor rgb="FFFF3F3F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4">
    <xf numFmtId="0" fontId="0" fillId="0" borderId="0"/>
    <xf numFmtId="43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0" fontId="39" fillId="0" borderId="37"/>
  </cellStyleXfs>
  <cellXfs count="279">
    <xf numFmtId="0" fontId="0" fillId="0" borderId="0" xfId="0" applyFont="1" applyAlignment="1"/>
    <xf numFmtId="0" fontId="1" fillId="2" borderId="1" xfId="0" applyFont="1" applyFill="1" applyBorder="1"/>
    <xf numFmtId="0" fontId="5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164" fontId="9" fillId="2" borderId="1" xfId="0" applyNumberFormat="1" applyFont="1" applyFill="1" applyBorder="1"/>
    <xf numFmtId="166" fontId="1" fillId="2" borderId="1" xfId="0" applyNumberFormat="1" applyFont="1" applyFill="1" applyBorder="1"/>
    <xf numFmtId="166" fontId="10" fillId="2" borderId="1" xfId="0" applyNumberFormat="1" applyFont="1" applyFill="1" applyBorder="1"/>
    <xf numFmtId="0" fontId="2" fillId="2" borderId="1" xfId="0" applyFont="1" applyFill="1" applyBorder="1"/>
    <xf numFmtId="17" fontId="7" fillId="2" borderId="5" xfId="0" applyNumberFormat="1" applyFont="1" applyFill="1" applyBorder="1" applyAlignment="1">
      <alignment horizontal="left" vertical="center"/>
    </xf>
    <xf numFmtId="17" fontId="7" fillId="2" borderId="5" xfId="0" applyNumberFormat="1" applyFont="1" applyFill="1" applyBorder="1" applyAlignment="1">
      <alignment horizontal="center" vertical="center"/>
    </xf>
    <xf numFmtId="165" fontId="7" fillId="2" borderId="5" xfId="0" applyNumberFormat="1" applyFont="1" applyFill="1" applyBorder="1" applyAlignment="1">
      <alignment horizontal="center" vertical="center" wrapText="1"/>
    </xf>
    <xf numFmtId="167" fontId="7" fillId="2" borderId="5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/>
    <xf numFmtId="49" fontId="9" fillId="2" borderId="1" xfId="0" applyNumberFormat="1" applyFont="1" applyFill="1" applyBorder="1"/>
    <xf numFmtId="164" fontId="8" fillId="2" borderId="5" xfId="0" applyNumberFormat="1" applyFon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167" fontId="8" fillId="2" borderId="5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vertical="center"/>
    </xf>
    <xf numFmtId="0" fontId="12" fillId="2" borderId="1" xfId="0" applyFont="1" applyFill="1" applyBorder="1"/>
    <xf numFmtId="165" fontId="5" fillId="2" borderId="1" xfId="0" applyNumberFormat="1" applyFont="1" applyFill="1" applyBorder="1" applyAlignment="1">
      <alignment vertical="center"/>
    </xf>
    <xf numFmtId="167" fontId="5" fillId="2" borderId="1" xfId="0" applyNumberFormat="1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17" fontId="7" fillId="2" borderId="1" xfId="0" applyNumberFormat="1" applyFont="1" applyFill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vertical="center"/>
    </xf>
    <xf numFmtId="165" fontId="8" fillId="2" borderId="1" xfId="0" applyNumberFormat="1" applyFont="1" applyFill="1" applyBorder="1" applyAlignment="1">
      <alignment vertical="center"/>
    </xf>
    <xf numFmtId="167" fontId="8" fillId="2" borderId="1" xfId="0" applyNumberFormat="1" applyFont="1" applyFill="1" applyBorder="1" applyAlignment="1">
      <alignment vertical="center"/>
    </xf>
    <xf numFmtId="170" fontId="8" fillId="2" borderId="1" xfId="0" applyNumberFormat="1" applyFont="1" applyFill="1" applyBorder="1" applyAlignment="1">
      <alignment vertical="center"/>
    </xf>
    <xf numFmtId="164" fontId="5" fillId="2" borderId="1" xfId="0" applyNumberFormat="1" applyFont="1" applyFill="1" applyBorder="1" applyAlignment="1">
      <alignment vertical="center"/>
    </xf>
    <xf numFmtId="164" fontId="11" fillId="2" borderId="1" xfId="0" applyNumberFormat="1" applyFont="1" applyFill="1" applyBorder="1" applyAlignment="1">
      <alignment vertical="center"/>
    </xf>
    <xf numFmtId="165" fontId="11" fillId="2" borderId="1" xfId="0" applyNumberFormat="1" applyFont="1" applyFill="1" applyBorder="1" applyAlignment="1">
      <alignment vertical="center"/>
    </xf>
    <xf numFmtId="164" fontId="9" fillId="2" borderId="1" xfId="0" applyNumberFormat="1" applyFont="1" applyFill="1" applyBorder="1" applyAlignment="1">
      <alignment vertical="center"/>
    </xf>
    <xf numFmtId="165" fontId="9" fillId="2" borderId="1" xfId="0" applyNumberFormat="1" applyFont="1" applyFill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17" fontId="7" fillId="2" borderId="1" xfId="0" applyNumberFormat="1" applyFont="1" applyFill="1" applyBorder="1" applyAlignment="1">
      <alignment horizontal="left" vertical="center"/>
    </xf>
    <xf numFmtId="17" fontId="7" fillId="2" borderId="1" xfId="0" applyNumberFormat="1" applyFont="1" applyFill="1" applyBorder="1" applyAlignment="1">
      <alignment horizontal="center" vertical="center"/>
    </xf>
    <xf numFmtId="165" fontId="7" fillId="2" borderId="1" xfId="0" applyNumberFormat="1" applyFont="1" applyFill="1" applyBorder="1" applyAlignment="1">
      <alignment horizontal="center" vertical="center" wrapText="1"/>
    </xf>
    <xf numFmtId="167" fontId="7" fillId="2" borderId="1" xfId="0" applyNumberFormat="1" applyFont="1" applyFill="1" applyBorder="1" applyAlignment="1">
      <alignment horizontal="center" vertical="center" wrapText="1"/>
    </xf>
    <xf numFmtId="171" fontId="8" fillId="2" borderId="1" xfId="0" applyNumberFormat="1" applyFont="1" applyFill="1" applyBorder="1" applyAlignment="1">
      <alignment vertical="center"/>
    </xf>
    <xf numFmtId="167" fontId="8" fillId="0" borderId="0" xfId="0" applyNumberFormat="1" applyFont="1" applyAlignment="1">
      <alignment vertical="center"/>
    </xf>
    <xf numFmtId="164" fontId="11" fillId="2" borderId="1" xfId="0" applyNumberFormat="1" applyFont="1" applyFill="1" applyBorder="1"/>
    <xf numFmtId="41" fontId="5" fillId="2" borderId="1" xfId="0" applyNumberFormat="1" applyFont="1" applyFill="1" applyBorder="1" applyAlignment="1">
      <alignment vertical="center"/>
    </xf>
    <xf numFmtId="170" fontId="15" fillId="2" borderId="1" xfId="0" applyNumberFormat="1" applyFont="1" applyFill="1" applyBorder="1" applyAlignment="1">
      <alignment vertical="center"/>
    </xf>
    <xf numFmtId="167" fontId="9" fillId="2" borderId="1" xfId="0" applyNumberFormat="1" applyFont="1" applyFill="1" applyBorder="1" applyAlignment="1">
      <alignment vertical="center"/>
    </xf>
    <xf numFmtId="164" fontId="8" fillId="2" borderId="5" xfId="0" applyNumberFormat="1" applyFont="1" applyFill="1" applyBorder="1" applyAlignment="1">
      <alignment horizontal="left" vertical="center"/>
    </xf>
    <xf numFmtId="170" fontId="5" fillId="2" borderId="1" xfId="0" applyNumberFormat="1" applyFont="1" applyFill="1" applyBorder="1" applyAlignment="1">
      <alignment vertical="center"/>
    </xf>
    <xf numFmtId="0" fontId="10" fillId="2" borderId="1" xfId="0" applyFont="1" applyFill="1" applyBorder="1"/>
    <xf numFmtId="0" fontId="8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wrapText="1"/>
    </xf>
    <xf numFmtId="0" fontId="7" fillId="2" borderId="12" xfId="0" applyFont="1" applyFill="1" applyBorder="1" applyAlignment="1">
      <alignment horizontal="center" wrapText="1"/>
    </xf>
    <xf numFmtId="0" fontId="10" fillId="2" borderId="6" xfId="0" applyFont="1" applyFill="1" applyBorder="1"/>
    <xf numFmtId="0" fontId="10" fillId="2" borderId="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172" fontId="5" fillId="2" borderId="6" xfId="0" applyNumberFormat="1" applyFont="1" applyFill="1" applyBorder="1" applyAlignment="1">
      <alignment horizontal="right"/>
    </xf>
    <xf numFmtId="173" fontId="5" fillId="2" borderId="13" xfId="0" applyNumberFormat="1" applyFont="1" applyFill="1" applyBorder="1" applyAlignment="1">
      <alignment horizontal="right"/>
    </xf>
    <xf numFmtId="172" fontId="7" fillId="2" borderId="14" xfId="0" applyNumberFormat="1" applyFont="1" applyFill="1" applyBorder="1" applyAlignment="1">
      <alignment horizontal="right"/>
    </xf>
    <xf numFmtId="172" fontId="7" fillId="2" borderId="6" xfId="0" applyNumberFormat="1" applyFont="1" applyFill="1" applyBorder="1" applyAlignment="1">
      <alignment horizontal="right" vertical="center"/>
    </xf>
    <xf numFmtId="173" fontId="7" fillId="2" borderId="13" xfId="0" applyNumberFormat="1" applyFont="1" applyFill="1" applyBorder="1" applyAlignment="1">
      <alignment horizontal="right" vertical="center"/>
    </xf>
    <xf numFmtId="174" fontId="7" fillId="2" borderId="13" xfId="0" applyNumberFormat="1" applyFont="1" applyFill="1" applyBorder="1" applyAlignment="1">
      <alignment horizontal="right" vertical="center"/>
    </xf>
    <xf numFmtId="172" fontId="7" fillId="2" borderId="14" xfId="0" applyNumberFormat="1" applyFont="1" applyFill="1" applyBorder="1" applyAlignment="1">
      <alignment horizontal="right" vertical="center"/>
    </xf>
    <xf numFmtId="0" fontId="10" fillId="2" borderId="16" xfId="0" applyFont="1" applyFill="1" applyBorder="1"/>
    <xf numFmtId="0" fontId="10" fillId="2" borderId="17" xfId="0" applyFont="1" applyFill="1" applyBorder="1"/>
    <xf numFmtId="0" fontId="10" fillId="2" borderId="16" xfId="0" applyFont="1" applyFill="1" applyBorder="1" applyAlignment="1">
      <alignment horizontal="center"/>
    </xf>
    <xf numFmtId="173" fontId="10" fillId="2" borderId="18" xfId="0" applyNumberFormat="1" applyFont="1" applyFill="1" applyBorder="1" applyAlignment="1">
      <alignment horizontal="right"/>
    </xf>
    <xf numFmtId="0" fontId="10" fillId="2" borderId="16" xfId="0" applyFont="1" applyFill="1" applyBorder="1" applyAlignment="1">
      <alignment horizontal="right"/>
    </xf>
    <xf numFmtId="0" fontId="10" fillId="2" borderId="18" xfId="0" applyFont="1" applyFill="1" applyBorder="1" applyAlignment="1">
      <alignment horizontal="right"/>
    </xf>
    <xf numFmtId="0" fontId="7" fillId="2" borderId="19" xfId="0" applyFont="1" applyFill="1" applyBorder="1" applyAlignment="1">
      <alignment horizontal="right"/>
    </xf>
    <xf numFmtId="174" fontId="7" fillId="2" borderId="7" xfId="0" applyNumberFormat="1" applyFont="1" applyFill="1" applyBorder="1" applyAlignment="1">
      <alignment horizontal="right" vertical="center"/>
    </xf>
    <xf numFmtId="173" fontId="8" fillId="2" borderId="22" xfId="0" applyNumberFormat="1" applyFont="1" applyFill="1" applyBorder="1" applyAlignment="1">
      <alignment horizontal="right" vertical="center"/>
    </xf>
    <xf numFmtId="174" fontId="8" fillId="2" borderId="22" xfId="0" applyNumberFormat="1" applyFont="1" applyFill="1" applyBorder="1" applyAlignment="1">
      <alignment horizontal="right" vertical="center"/>
    </xf>
    <xf numFmtId="174" fontId="7" fillId="2" borderId="23" xfId="0" applyNumberFormat="1" applyFont="1" applyFill="1" applyBorder="1" applyAlignment="1">
      <alignment horizontal="right" vertical="center"/>
    </xf>
    <xf numFmtId="0" fontId="16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7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3" fontId="5" fillId="2" borderId="28" xfId="0" applyNumberFormat="1" applyFont="1" applyFill="1" applyBorder="1" applyAlignment="1">
      <alignment horizontal="right"/>
    </xf>
    <xf numFmtId="3" fontId="5" fillId="2" borderId="29" xfId="0" applyNumberFormat="1" applyFont="1" applyFill="1" applyBorder="1" applyAlignment="1">
      <alignment horizontal="right"/>
    </xf>
    <xf numFmtId="3" fontId="5" fillId="2" borderId="1" xfId="0" applyNumberFormat="1" applyFont="1" applyFill="1" applyBorder="1" applyAlignment="1">
      <alignment horizontal="right"/>
    </xf>
    <xf numFmtId="166" fontId="5" fillId="2" borderId="29" xfId="0" applyNumberFormat="1" applyFont="1" applyFill="1" applyBorder="1" applyAlignment="1">
      <alignment horizontal="right"/>
    </xf>
    <xf numFmtId="0" fontId="10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166" fontId="7" fillId="2" borderId="30" xfId="0" applyNumberFormat="1" applyFont="1" applyFill="1" applyBorder="1" applyAlignment="1">
      <alignment horizontal="right" vertical="center"/>
    </xf>
    <xf numFmtId="166" fontId="7" fillId="2" borderId="27" xfId="0" applyNumberFormat="1" applyFont="1" applyFill="1" applyBorder="1" applyAlignment="1">
      <alignment horizontal="right" vertical="center"/>
    </xf>
    <xf numFmtId="166" fontId="7" fillId="2" borderId="26" xfId="0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3" fontId="7" fillId="2" borderId="12" xfId="0" applyNumberFormat="1" applyFont="1" applyFill="1" applyBorder="1" applyAlignment="1">
      <alignment horizontal="center"/>
    </xf>
    <xf numFmtId="49" fontId="7" fillId="2" borderId="31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175" fontId="5" fillId="2" borderId="1" xfId="0" applyNumberFormat="1" applyFont="1" applyFill="1" applyBorder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2" borderId="26" xfId="0" applyFont="1" applyFill="1" applyBorder="1" applyAlignment="1">
      <alignment vertical="center"/>
    </xf>
    <xf numFmtId="175" fontId="7" fillId="2" borderId="26" xfId="0" applyNumberFormat="1" applyFont="1" applyFill="1" applyBorder="1" applyAlignment="1">
      <alignment horizontal="right" vertical="center"/>
    </xf>
    <xf numFmtId="175" fontId="1" fillId="2" borderId="1" xfId="0" applyNumberFormat="1" applyFont="1" applyFill="1" applyBorder="1" applyAlignment="1">
      <alignment horizontal="right"/>
    </xf>
    <xf numFmtId="175" fontId="7" fillId="2" borderId="1" xfId="0" applyNumberFormat="1" applyFont="1" applyFill="1" applyBorder="1" applyAlignment="1">
      <alignment horizontal="right"/>
    </xf>
    <xf numFmtId="176" fontId="7" fillId="2" borderId="1" xfId="0" applyNumberFormat="1" applyFont="1" applyFill="1" applyBorder="1" applyAlignment="1">
      <alignment horizontal="right"/>
    </xf>
    <xf numFmtId="0" fontId="18" fillId="2" borderId="1" xfId="0" applyFont="1" applyFill="1" applyBorder="1"/>
    <xf numFmtId="166" fontId="5" fillId="2" borderId="1" xfId="0" applyNumberFormat="1" applyFont="1" applyFill="1" applyBorder="1"/>
    <xf numFmtId="166" fontId="5" fillId="2" borderId="1" xfId="0" applyNumberFormat="1" applyFont="1" applyFill="1" applyBorder="1" applyAlignment="1">
      <alignment horizontal="right"/>
    </xf>
    <xf numFmtId="0" fontId="5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 vertical="center"/>
    </xf>
    <xf numFmtId="0" fontId="8" fillId="2" borderId="31" xfId="0" applyFont="1" applyFill="1" applyBorder="1" applyAlignment="1">
      <alignment horizontal="left" vertical="center"/>
    </xf>
    <xf numFmtId="166" fontId="8" fillId="2" borderId="31" xfId="0" applyNumberFormat="1" applyFont="1" applyFill="1" applyBorder="1" applyAlignment="1">
      <alignment horizontal="center" vertical="center" wrapText="1"/>
    </xf>
    <xf numFmtId="167" fontId="8" fillId="2" borderId="3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right"/>
    </xf>
    <xf numFmtId="166" fontId="8" fillId="2" borderId="1" xfId="0" applyNumberFormat="1" applyFont="1" applyFill="1" applyBorder="1" applyAlignment="1">
      <alignment horizontal="center" vertical="center" wrapText="1"/>
    </xf>
    <xf numFmtId="167" fontId="8" fillId="2" borderId="1" xfId="0" applyNumberFormat="1" applyFont="1" applyFill="1" applyBorder="1" applyAlignment="1">
      <alignment horizontal="center" vertical="center" wrapText="1"/>
    </xf>
    <xf numFmtId="167" fontId="5" fillId="2" borderId="1" xfId="0" applyNumberFormat="1" applyFont="1" applyFill="1" applyBorder="1" applyAlignment="1">
      <alignment horizontal="right"/>
    </xf>
    <xf numFmtId="0" fontId="11" fillId="2" borderId="1" xfId="0" applyFont="1" applyFill="1" applyBorder="1" applyAlignment="1">
      <alignment horizontal="right"/>
    </xf>
    <xf numFmtId="0" fontId="11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166" fontId="8" fillId="2" borderId="1" xfId="0" applyNumberFormat="1" applyFont="1" applyFill="1" applyBorder="1" applyAlignment="1">
      <alignment horizontal="right" vertical="center"/>
    </xf>
    <xf numFmtId="167" fontId="8" fillId="2" borderId="1" xfId="0" applyNumberFormat="1" applyFont="1" applyFill="1" applyBorder="1" applyAlignment="1">
      <alignment horizontal="right" vertical="center"/>
    </xf>
    <xf numFmtId="166" fontId="9" fillId="2" borderId="1" xfId="0" applyNumberFormat="1" applyFont="1" applyFill="1" applyBorder="1" applyAlignment="1">
      <alignment horizontal="left"/>
    </xf>
    <xf numFmtId="167" fontId="9" fillId="2" borderId="1" xfId="0" applyNumberFormat="1" applyFont="1" applyFill="1" applyBorder="1" applyAlignment="1">
      <alignment horizontal="left"/>
    </xf>
    <xf numFmtId="166" fontId="8" fillId="2" borderId="1" xfId="0" applyNumberFormat="1" applyFont="1" applyFill="1" applyBorder="1" applyAlignment="1">
      <alignment horizontal="left"/>
    </xf>
    <xf numFmtId="167" fontId="8" fillId="2" borderId="1" xfId="0" applyNumberFormat="1" applyFont="1" applyFill="1" applyBorder="1" applyAlignment="1">
      <alignment horizontal="left"/>
    </xf>
    <xf numFmtId="0" fontId="19" fillId="2" borderId="1" xfId="0" applyFont="1" applyFill="1" applyBorder="1"/>
    <xf numFmtId="0" fontId="20" fillId="2" borderId="1" xfId="0" applyFont="1" applyFill="1" applyBorder="1"/>
    <xf numFmtId="166" fontId="8" fillId="2" borderId="1" xfId="0" applyNumberFormat="1" applyFont="1" applyFill="1" applyBorder="1" applyAlignment="1">
      <alignment horizontal="right"/>
    </xf>
    <xf numFmtId="0" fontId="8" fillId="2" borderId="1" xfId="0" applyFont="1" applyFill="1" applyBorder="1" applyAlignment="1">
      <alignment horizontal="right"/>
    </xf>
    <xf numFmtId="167" fontId="8" fillId="2" borderId="1" xfId="0" applyNumberFormat="1" applyFont="1" applyFill="1" applyBorder="1" applyAlignment="1">
      <alignment horizontal="right"/>
    </xf>
    <xf numFmtId="166" fontId="9" fillId="2" borderId="1" xfId="0" applyNumberFormat="1" applyFont="1" applyFill="1" applyBorder="1" applyAlignment="1">
      <alignment horizontal="right"/>
    </xf>
    <xf numFmtId="167" fontId="9" fillId="2" borderId="1" xfId="0" applyNumberFormat="1" applyFont="1" applyFill="1" applyBorder="1" applyAlignment="1">
      <alignment horizontal="right"/>
    </xf>
    <xf numFmtId="0" fontId="7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/>
    </xf>
    <xf numFmtId="172" fontId="7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172" fontId="5" fillId="2" borderId="1" xfId="0" applyNumberFormat="1" applyFont="1" applyFill="1" applyBorder="1" applyAlignment="1">
      <alignment horizontal="center"/>
    </xf>
    <xf numFmtId="167" fontId="5" fillId="2" borderId="1" xfId="0" applyNumberFormat="1" applyFont="1" applyFill="1" applyBorder="1" applyAlignment="1">
      <alignment horizontal="center"/>
    </xf>
    <xf numFmtId="177" fontId="5" fillId="2" borderId="1" xfId="0" applyNumberFormat="1" applyFont="1" applyFill="1" applyBorder="1"/>
    <xf numFmtId="172" fontId="5" fillId="2" borderId="1" xfId="0" applyNumberFormat="1" applyFont="1" applyFill="1" applyBorder="1"/>
    <xf numFmtId="172" fontId="8" fillId="2" borderId="1" xfId="0" applyNumberFormat="1" applyFont="1" applyFill="1" applyBorder="1" applyAlignment="1">
      <alignment horizontal="center" vertical="center"/>
    </xf>
    <xf numFmtId="167" fontId="8" fillId="2" borderId="1" xfId="0" applyNumberFormat="1" applyFont="1" applyFill="1" applyBorder="1" applyAlignment="1">
      <alignment horizontal="center"/>
    </xf>
    <xf numFmtId="172" fontId="7" fillId="2" borderId="1" xfId="0" applyNumberFormat="1" applyFont="1" applyFill="1" applyBorder="1" applyAlignment="1">
      <alignment horizontal="right" vertical="center" wrapText="1"/>
    </xf>
    <xf numFmtId="172" fontId="5" fillId="2" borderId="1" xfId="0" applyNumberFormat="1" applyFont="1" applyFill="1" applyBorder="1" applyAlignment="1">
      <alignment horizontal="right"/>
    </xf>
    <xf numFmtId="177" fontId="21" fillId="2" borderId="1" xfId="0" applyNumberFormat="1" applyFont="1" applyFill="1" applyBorder="1"/>
    <xf numFmtId="0" fontId="5" fillId="2" borderId="1" xfId="0" applyFont="1" applyFill="1" applyBorder="1" applyAlignment="1">
      <alignment horizontal="right"/>
    </xf>
    <xf numFmtId="172" fontId="8" fillId="2" borderId="1" xfId="0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vertical="center" wrapText="1"/>
    </xf>
    <xf numFmtId="166" fontId="5" fillId="2" borderId="1" xfId="0" applyNumberFormat="1" applyFont="1" applyFill="1" applyBorder="1" applyAlignment="1">
      <alignment horizontal="left" vertical="center"/>
    </xf>
    <xf numFmtId="0" fontId="8" fillId="2" borderId="26" xfId="0" applyFont="1" applyFill="1" applyBorder="1" applyAlignment="1">
      <alignment horizontal="left" vertical="center"/>
    </xf>
    <xf numFmtId="166" fontId="8" fillId="2" borderId="26" xfId="0" applyNumberFormat="1" applyFont="1" applyFill="1" applyBorder="1" applyAlignment="1">
      <alignment horizontal="left" vertical="center"/>
    </xf>
    <xf numFmtId="0" fontId="5" fillId="5" borderId="1" xfId="0" applyFont="1" applyFill="1" applyBorder="1"/>
    <xf numFmtId="166" fontId="5" fillId="5" borderId="1" xfId="0" applyNumberFormat="1" applyFont="1" applyFill="1" applyBorder="1"/>
    <xf numFmtId="172" fontId="5" fillId="5" borderId="1" xfId="0" applyNumberFormat="1" applyFont="1" applyFill="1" applyBorder="1"/>
    <xf numFmtId="0" fontId="6" fillId="3" borderId="12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5" fillId="2" borderId="12" xfId="0" applyFont="1" applyFill="1" applyBorder="1"/>
    <xf numFmtId="172" fontId="9" fillId="2" borderId="11" xfId="0" applyNumberFormat="1" applyFont="1" applyFill="1" applyBorder="1" applyAlignment="1">
      <alignment horizontal="right"/>
    </xf>
    <xf numFmtId="172" fontId="9" fillId="2" borderId="12" xfId="0" applyNumberFormat="1" applyFont="1" applyFill="1" applyBorder="1" applyAlignment="1">
      <alignment horizontal="right"/>
    </xf>
    <xf numFmtId="0" fontId="8" fillId="2" borderId="12" xfId="0" applyFont="1" applyFill="1" applyBorder="1" applyAlignment="1">
      <alignment horizontal="left" vertical="center"/>
    </xf>
    <xf numFmtId="166" fontId="8" fillId="2" borderId="12" xfId="0" applyNumberFormat="1" applyFont="1" applyFill="1" applyBorder="1" applyAlignment="1">
      <alignment horizontal="left" vertical="center"/>
    </xf>
    <xf numFmtId="0" fontId="23" fillId="7" borderId="0" xfId="0" applyFont="1" applyFill="1" applyAlignment="1"/>
    <xf numFmtId="0" fontId="0" fillId="7" borderId="0" xfId="0" applyFill="1"/>
    <xf numFmtId="0" fontId="28" fillId="7" borderId="0" xfId="0" applyFont="1" applyFill="1" applyAlignment="1"/>
    <xf numFmtId="17" fontId="29" fillId="7" borderId="38" xfId="0" applyNumberFormat="1" applyFont="1" applyFill="1" applyBorder="1" applyAlignment="1">
      <alignment horizontal="left"/>
    </xf>
    <xf numFmtId="17" fontId="29" fillId="7" borderId="38" xfId="0" applyNumberFormat="1" applyFont="1" applyFill="1" applyBorder="1" applyAlignment="1">
      <alignment horizontal="center"/>
    </xf>
    <xf numFmtId="0" fontId="0" fillId="7" borderId="38" xfId="0" applyFill="1" applyBorder="1"/>
    <xf numFmtId="0" fontId="30" fillId="7" borderId="37" xfId="0" applyFont="1" applyFill="1" applyBorder="1"/>
    <xf numFmtId="164" fontId="31" fillId="7" borderId="0" xfId="0" applyNumberFormat="1" applyFont="1" applyFill="1"/>
    <xf numFmtId="0" fontId="0" fillId="7" borderId="39" xfId="0" applyFill="1" applyBorder="1"/>
    <xf numFmtId="0" fontId="31" fillId="7" borderId="0" xfId="0" applyFont="1" applyFill="1"/>
    <xf numFmtId="165" fontId="31" fillId="7" borderId="0" xfId="0" applyNumberFormat="1" applyFont="1" applyFill="1"/>
    <xf numFmtId="165" fontId="0" fillId="7" borderId="0" xfId="0" applyNumberFormat="1" applyFill="1"/>
    <xf numFmtId="165" fontId="0" fillId="7" borderId="39" xfId="0" applyNumberFormat="1" applyFill="1" applyBorder="1"/>
    <xf numFmtId="165" fontId="31" fillId="7" borderId="37" xfId="0" applyNumberFormat="1" applyFont="1" applyFill="1" applyBorder="1"/>
    <xf numFmtId="165" fontId="31" fillId="7" borderId="37" xfId="1" applyNumberFormat="1" applyFont="1" applyFill="1" applyBorder="1"/>
    <xf numFmtId="0" fontId="32" fillId="7" borderId="0" xfId="0" applyFont="1" applyFill="1"/>
    <xf numFmtId="165" fontId="32" fillId="7" borderId="0" xfId="1" applyNumberFormat="1" applyFont="1" applyFill="1"/>
    <xf numFmtId="165" fontId="32" fillId="7" borderId="0" xfId="0" applyNumberFormat="1" applyFont="1" applyFill="1"/>
    <xf numFmtId="165" fontId="32" fillId="7" borderId="37" xfId="1" applyNumberFormat="1" applyFont="1" applyFill="1" applyBorder="1"/>
    <xf numFmtId="164" fontId="32" fillId="7" borderId="0" xfId="0" applyNumberFormat="1" applyFont="1" applyFill="1"/>
    <xf numFmtId="165" fontId="33" fillId="7" borderId="0" xfId="0" applyNumberFormat="1" applyFont="1" applyFill="1" applyAlignment="1">
      <alignment horizontal="center"/>
    </xf>
    <xf numFmtId="164" fontId="30" fillId="7" borderId="37" xfId="0" applyNumberFormat="1" applyFont="1" applyFill="1" applyBorder="1"/>
    <xf numFmtId="165" fontId="30" fillId="7" borderId="0" xfId="0" applyNumberFormat="1" applyFont="1" applyFill="1"/>
    <xf numFmtId="165" fontId="34" fillId="7" borderId="0" xfId="0" applyNumberFormat="1" applyFont="1" applyFill="1"/>
    <xf numFmtId="0" fontId="30" fillId="7" borderId="0" xfId="0" applyFont="1" applyFill="1"/>
    <xf numFmtId="164" fontId="32" fillId="7" borderId="37" xfId="0" applyNumberFormat="1" applyFont="1" applyFill="1" applyBorder="1"/>
    <xf numFmtId="178" fontId="0" fillId="7" borderId="0" xfId="1" applyNumberFormat="1" applyFont="1" applyFill="1"/>
    <xf numFmtId="0" fontId="32" fillId="7" borderId="0" xfId="0" applyNumberFormat="1" applyFont="1" applyFill="1"/>
    <xf numFmtId="164" fontId="32" fillId="7" borderId="37" xfId="1" applyNumberFormat="1" applyFont="1" applyFill="1" applyBorder="1"/>
    <xf numFmtId="17" fontId="31" fillId="7" borderId="38" xfId="0" applyNumberFormat="1" applyFont="1" applyFill="1" applyBorder="1" applyAlignment="1">
      <alignment vertical="center"/>
    </xf>
    <xf numFmtId="0" fontId="31" fillId="7" borderId="38" xfId="0" applyFont="1" applyFill="1" applyBorder="1" applyAlignment="1">
      <alignment vertical="center"/>
    </xf>
    <xf numFmtId="165" fontId="31" fillId="7" borderId="38" xfId="0" applyNumberFormat="1" applyFont="1" applyFill="1" applyBorder="1" applyAlignment="1">
      <alignment vertical="center"/>
    </xf>
    <xf numFmtId="165" fontId="0" fillId="7" borderId="38" xfId="0" applyNumberFormat="1" applyFill="1" applyBorder="1"/>
    <xf numFmtId="165" fontId="0" fillId="7" borderId="40" xfId="0" applyNumberFormat="1" applyFill="1" applyBorder="1"/>
    <xf numFmtId="165" fontId="32" fillId="7" borderId="37" xfId="0" applyNumberFormat="1" applyFont="1" applyFill="1" applyBorder="1"/>
    <xf numFmtId="164" fontId="0" fillId="7" borderId="0" xfId="0" applyNumberFormat="1" applyFill="1"/>
    <xf numFmtId="0" fontId="32" fillId="7" borderId="0" xfId="0" applyFont="1" applyFill="1" applyAlignment="1">
      <alignment wrapText="1"/>
    </xf>
    <xf numFmtId="165" fontId="32" fillId="7" borderId="0" xfId="0" applyNumberFormat="1" applyFont="1" applyFill="1" applyAlignment="1">
      <alignment wrapText="1"/>
    </xf>
    <xf numFmtId="41" fontId="0" fillId="7" borderId="0" xfId="2" applyFont="1" applyFill="1"/>
    <xf numFmtId="41" fontId="0" fillId="7" borderId="0" xfId="0" applyNumberFormat="1" applyFill="1"/>
    <xf numFmtId="49" fontId="25" fillId="7" borderId="0" xfId="0" applyNumberFormat="1" applyFont="1" applyFill="1" applyAlignment="1"/>
    <xf numFmtId="0" fontId="25" fillId="7" borderId="0" xfId="0" applyFont="1" applyFill="1"/>
    <xf numFmtId="178" fontId="35" fillId="7" borderId="0" xfId="1" applyNumberFormat="1" applyFont="1" applyFill="1"/>
    <xf numFmtId="0" fontId="35" fillId="7" borderId="0" xfId="0" applyFont="1" applyFill="1"/>
    <xf numFmtId="49" fontId="30" fillId="7" borderId="0" xfId="0" applyNumberFormat="1" applyFont="1" applyFill="1" applyAlignment="1"/>
    <xf numFmtId="178" fontId="33" fillId="7" borderId="0" xfId="1" applyNumberFormat="1" applyFont="1" applyFill="1"/>
    <xf numFmtId="0" fontId="33" fillId="7" borderId="0" xfId="0" applyFont="1" applyFill="1"/>
    <xf numFmtId="178" fontId="38" fillId="7" borderId="0" xfId="1" applyNumberFormat="1" applyFont="1" applyFill="1"/>
    <xf numFmtId="167" fontId="30" fillId="7" borderId="0" xfId="0" applyNumberFormat="1" applyFont="1" applyFill="1"/>
    <xf numFmtId="49" fontId="35" fillId="7" borderId="0" xfId="0" applyNumberFormat="1" applyFont="1" applyFill="1" applyAlignment="1"/>
    <xf numFmtId="17" fontId="29" fillId="7" borderId="38" xfId="0" applyNumberFormat="1" applyFont="1" applyFill="1" applyBorder="1" applyAlignment="1">
      <alignment horizontal="left" vertical="center"/>
    </xf>
    <xf numFmtId="17" fontId="29" fillId="7" borderId="38" xfId="0" applyNumberFormat="1" applyFont="1" applyFill="1" applyBorder="1" applyAlignment="1">
      <alignment horizontal="center" vertical="center"/>
    </xf>
    <xf numFmtId="165" fontId="29" fillId="7" borderId="38" xfId="0" applyNumberFormat="1" applyFont="1" applyFill="1" applyBorder="1" applyAlignment="1">
      <alignment horizontal="center" vertical="center" wrapText="1"/>
    </xf>
    <xf numFmtId="167" fontId="29" fillId="7" borderId="38" xfId="0" applyNumberFormat="1" applyFont="1" applyFill="1" applyBorder="1" applyAlignment="1">
      <alignment horizontal="center" vertical="center" wrapText="1"/>
    </xf>
    <xf numFmtId="165" fontId="30" fillId="7" borderId="37" xfId="0" applyNumberFormat="1" applyFont="1" applyFill="1" applyBorder="1"/>
    <xf numFmtId="167" fontId="30" fillId="7" borderId="37" xfId="0" applyNumberFormat="1" applyFont="1" applyFill="1" applyBorder="1"/>
    <xf numFmtId="168" fontId="31" fillId="7" borderId="0" xfId="0" applyNumberFormat="1" applyFont="1" applyFill="1"/>
    <xf numFmtId="167" fontId="36" fillId="7" borderId="37" xfId="3" applyNumberFormat="1" applyFont="1" applyFill="1" applyBorder="1"/>
    <xf numFmtId="178" fontId="33" fillId="7" borderId="0" xfId="0" applyNumberFormat="1" applyFont="1" applyFill="1"/>
    <xf numFmtId="167" fontId="31" fillId="7" borderId="0" xfId="0" applyNumberFormat="1" applyFont="1" applyFill="1"/>
    <xf numFmtId="0" fontId="32" fillId="7" borderId="0" xfId="0" applyFont="1" applyFill="1" applyAlignment="1"/>
    <xf numFmtId="168" fontId="32" fillId="7" borderId="0" xfId="0" applyNumberFormat="1" applyFont="1" applyFill="1" applyAlignment="1"/>
    <xf numFmtId="165" fontId="0" fillId="7" borderId="0" xfId="0" applyNumberFormat="1" applyFill="1" applyAlignment="1"/>
    <xf numFmtId="167" fontId="0" fillId="7" borderId="0" xfId="0" applyNumberFormat="1" applyFill="1" applyAlignment="1"/>
    <xf numFmtId="0" fontId="0" fillId="7" borderId="0" xfId="0" applyFill="1" applyAlignment="1"/>
    <xf numFmtId="165" fontId="32" fillId="7" borderId="0" xfId="0" applyNumberFormat="1" applyFont="1" applyFill="1" applyAlignment="1"/>
    <xf numFmtId="167" fontId="32" fillId="7" borderId="0" xfId="0" applyNumberFormat="1" applyFont="1" applyFill="1" applyAlignment="1"/>
    <xf numFmtId="168" fontId="32" fillId="7" borderId="0" xfId="0" applyNumberFormat="1" applyFont="1" applyFill="1"/>
    <xf numFmtId="167" fontId="32" fillId="7" borderId="0" xfId="0" applyNumberFormat="1" applyFont="1" applyFill="1"/>
    <xf numFmtId="167" fontId="34" fillId="7" borderId="0" xfId="0" applyNumberFormat="1" applyFont="1" applyFill="1"/>
    <xf numFmtId="49" fontId="32" fillId="7" borderId="0" xfId="0" applyNumberFormat="1" applyFont="1" applyFill="1" applyAlignment="1"/>
    <xf numFmtId="0" fontId="24" fillId="7" borderId="0" xfId="0" applyFont="1" applyFill="1"/>
    <xf numFmtId="17" fontId="31" fillId="7" borderId="38" xfId="0" applyNumberFormat="1" applyFont="1" applyFill="1" applyBorder="1" applyAlignment="1">
      <alignment horizontal="left" vertical="center"/>
    </xf>
    <xf numFmtId="17" fontId="31" fillId="7" borderId="38" xfId="0" applyNumberFormat="1" applyFont="1" applyFill="1" applyBorder="1" applyAlignment="1">
      <alignment horizontal="right" vertical="center"/>
    </xf>
    <xf numFmtId="164" fontId="31" fillId="7" borderId="38" xfId="0" applyNumberFormat="1" applyFont="1" applyFill="1" applyBorder="1" applyAlignment="1">
      <alignment horizontal="right" vertical="center"/>
    </xf>
    <xf numFmtId="165" fontId="31" fillId="7" borderId="38" xfId="0" applyNumberFormat="1" applyFont="1" applyFill="1" applyBorder="1" applyAlignment="1">
      <alignment horizontal="right" vertical="center"/>
    </xf>
    <xf numFmtId="167" fontId="31" fillId="7" borderId="38" xfId="0" applyNumberFormat="1" applyFont="1" applyFill="1" applyBorder="1" applyAlignment="1">
      <alignment horizontal="right" vertical="center"/>
    </xf>
    <xf numFmtId="167" fontId="0" fillId="7" borderId="0" xfId="0" applyNumberFormat="1" applyFill="1"/>
    <xf numFmtId="168" fontId="30" fillId="7" borderId="0" xfId="0" applyNumberFormat="1" applyFont="1" applyFill="1"/>
    <xf numFmtId="164" fontId="27" fillId="7" borderId="0" xfId="0" applyNumberFormat="1" applyFont="1" applyFill="1"/>
    <xf numFmtId="164" fontId="30" fillId="7" borderId="0" xfId="0" applyNumberFormat="1" applyFont="1" applyFill="1"/>
    <xf numFmtId="169" fontId="30" fillId="7" borderId="0" xfId="0" applyNumberFormat="1" applyFont="1" applyFill="1"/>
    <xf numFmtId="0" fontId="26" fillId="7" borderId="0" xfId="0" applyFont="1" applyFill="1" applyAlignment="1">
      <alignment horizontal="left"/>
    </xf>
    <xf numFmtId="0" fontId="27" fillId="7" borderId="0" xfId="0" applyFont="1" applyFill="1" applyAlignment="1">
      <alignment horizontal="left"/>
    </xf>
    <xf numFmtId="0" fontId="36" fillId="7" borderId="0" xfId="0" applyFont="1" applyFill="1" applyAlignment="1">
      <alignment horizontal="left"/>
    </xf>
    <xf numFmtId="0" fontId="37" fillId="7" borderId="0" xfId="0" applyFont="1" applyFill="1" applyAlignment="1">
      <alignment horizontal="left"/>
    </xf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/>
    <xf numFmtId="0" fontId="3" fillId="0" borderId="4" xfId="0" applyFont="1" applyBorder="1"/>
    <xf numFmtId="0" fontId="8" fillId="2" borderId="2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10" fillId="2" borderId="8" xfId="0" applyFont="1" applyFill="1" applyBorder="1" applyAlignment="1">
      <alignment horizontal="center" vertical="center" wrapText="1"/>
    </xf>
    <xf numFmtId="0" fontId="3" fillId="0" borderId="9" xfId="0" applyFont="1" applyBorder="1"/>
    <xf numFmtId="0" fontId="5" fillId="2" borderId="15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 vertical="center"/>
    </xf>
    <xf numFmtId="0" fontId="3" fillId="0" borderId="25" xfId="0" applyFont="1" applyBorder="1"/>
    <xf numFmtId="0" fontId="7" fillId="2" borderId="15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3" fillId="0" borderId="21" xfId="0" applyFont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wrapText="1"/>
    </xf>
    <xf numFmtId="0" fontId="9" fillId="2" borderId="32" xfId="0" applyFont="1" applyFill="1" applyBorder="1" applyAlignment="1">
      <alignment horizontal="left" vertical="center" wrapText="1"/>
    </xf>
    <xf numFmtId="0" fontId="3" fillId="0" borderId="33" xfId="0" applyFont="1" applyBorder="1"/>
    <xf numFmtId="0" fontId="3" fillId="0" borderId="34" xfId="0" applyFont="1" applyBorder="1"/>
    <xf numFmtId="0" fontId="3" fillId="0" borderId="35" xfId="0" applyFont="1" applyBorder="1"/>
    <xf numFmtId="0" fontId="3" fillId="0" borderId="36" xfId="0" applyFont="1" applyBorder="1"/>
    <xf numFmtId="0" fontId="3" fillId="0" borderId="37" xfId="0" applyFont="1" applyBorder="1"/>
    <xf numFmtId="0" fontId="8" fillId="2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left" wrapText="1"/>
    </xf>
    <xf numFmtId="0" fontId="9" fillId="2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</cellXfs>
  <cellStyles count="4">
    <cellStyle name="Millares" xfId="1" builtinId="3"/>
    <cellStyle name="Millares [0]" xfId="2" builtinId="6"/>
    <cellStyle name="Normal" xfId="0" builtinId="0"/>
    <cellStyle name="Normal 3" xfId="3" xr:uid="{CE99997D-41B6-41BA-85D6-36562B0E3C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customschemas.google.com/relationships/workbookmetadata" Target="metadata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0"/>
    <c:view3D>
      <c:rotX val="10"/>
      <c:rotY val="20"/>
      <c:depthPercent val="11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7562050459393548E-2"/>
          <c:y val="5.0925907361509419E-2"/>
          <c:w val="0.73101710871492964"/>
          <c:h val="0.7266128147372358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'VII A. Resumen Deuda'!$C$72</c:f>
              <c:strCache>
                <c:ptCount val="1"/>
                <c:pt idx="0">
                  <c:v>Directa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</c:spPr>
          <c:invertIfNegative val="0"/>
          <c:dLbls>
            <c:dLbl>
              <c:idx val="0"/>
              <c:layout>
                <c:manualLayout>
                  <c:x val="9.7759686676355401E-3"/>
                  <c:y val="-1.38888888888888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D18-4648-AF9D-80BEF427359D}"/>
                </c:ext>
              </c:extLst>
            </c:dLbl>
            <c:dLbl>
              <c:idx val="1"/>
              <c:layout>
                <c:manualLayout>
                  <c:x val="2.443992166908885E-2"/>
                  <c:y val="-3.70370370370369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18-4648-AF9D-80BEF42735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/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'VII A. Resumen Deuda'!$D$71:$E$71</c:f>
              <c:strCache>
                <c:ptCount val="2"/>
                <c:pt idx="0">
                  <c:v>Interna</c:v>
                </c:pt>
                <c:pt idx="1">
                  <c:v>Externa</c:v>
                </c:pt>
              </c:strCache>
            </c:strRef>
          </c:cat>
          <c:val>
            <c:numRef>
              <c:f>'VII A. Resumen Deuda'!$D$72:$E$72</c:f>
              <c:numCache>
                <c:formatCode>#,##0</c:formatCode>
                <c:ptCount val="2"/>
                <c:pt idx="0">
                  <c:v>82479471.844520852</c:v>
                </c:pt>
                <c:pt idx="1">
                  <c:v>46791822.341864161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18-4648-AF9D-80BEF427359D}"/>
            </c:ext>
          </c:extLst>
        </c:ser>
        <c:ser>
          <c:idx val="1"/>
          <c:order val="1"/>
          <c:tx>
            <c:strRef>
              <c:f>'VII A. Resumen Deuda'!$C$73</c:f>
              <c:strCache>
                <c:ptCount val="1"/>
                <c:pt idx="0">
                  <c:v>Indirecta</c:v>
                </c:pt>
              </c:strCache>
            </c:strRef>
          </c:tx>
          <c:spPr>
            <a:solidFill>
              <a:srgbClr val="FF3F3F"/>
            </a:solidFill>
          </c:spPr>
          <c:invertIfNegative val="0"/>
          <c:dLbls>
            <c:dLbl>
              <c:idx val="0"/>
              <c:layout>
                <c:manualLayout>
                  <c:x val="5.1436394647693465E-2"/>
                  <c:y val="-3.67405944373030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D18-4648-AF9D-80BEF427359D}"/>
                </c:ext>
              </c:extLst>
            </c:dLbl>
            <c:dLbl>
              <c:idx val="1"/>
              <c:layout>
                <c:manualLayout>
                  <c:x val="4.1547866837451042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D18-4648-AF9D-80BEF42735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/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'VII A. Resumen Deuda'!$D$71:$E$71</c:f>
              <c:strCache>
                <c:ptCount val="2"/>
                <c:pt idx="0">
                  <c:v>Interna</c:v>
                </c:pt>
                <c:pt idx="1">
                  <c:v>Externa</c:v>
                </c:pt>
              </c:strCache>
            </c:strRef>
          </c:cat>
          <c:val>
            <c:numRef>
              <c:f>'VII A. Resumen Deuda'!$D$73:$E$73</c:f>
              <c:numCache>
                <c:formatCode>#,##0</c:formatCode>
                <c:ptCount val="2"/>
                <c:pt idx="0">
                  <c:v>4430925.92886585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D18-4648-AF9D-80BEF4273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9917696"/>
        <c:axId val="109919232"/>
        <c:axId val="0"/>
      </c:bar3DChart>
      <c:catAx>
        <c:axId val="1099176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09919232"/>
        <c:crosses val="autoZero"/>
        <c:auto val="1"/>
        <c:lblAlgn val="ctr"/>
        <c:lblOffset val="100"/>
        <c:noMultiLvlLbl val="0"/>
      </c:catAx>
      <c:valAx>
        <c:axId val="109919232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CL"/>
          </a:p>
        </c:txPr>
        <c:crossAx val="109917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7725532366923678"/>
          <c:y val="0.17922239760117431"/>
          <c:w val="0.12987297398822573"/>
          <c:h val="0.16743438320209975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0"/>
    <c:view3D>
      <c:rotX val="10"/>
      <c:rotY val="10"/>
      <c:depthPercent val="120"/>
      <c:rAngAx val="0"/>
      <c:perspective val="2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0725140838876617E-2"/>
          <c:y val="5.1400554097404488E-2"/>
          <c:w val="0.66340799992593513"/>
          <c:h val="0.73539734616506269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'VII C.2 Comp D Pub Dir Ext Geo '!$E$46</c:f>
              <c:strCache>
                <c:ptCount val="1"/>
                <c:pt idx="0">
                  <c:v>31 de Diciembre 2023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</c:spPr>
          <c:invertIfNegative val="0"/>
          <c:dLbls>
            <c:dLbl>
              <c:idx val="0"/>
              <c:layout>
                <c:manualLayout>
                  <c:x val="-2.3991874433417344E-2"/>
                  <c:y val="-5.60436524381820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0BD-437D-B7FC-1A7B7534FCEB}"/>
                </c:ext>
              </c:extLst>
            </c:dLbl>
            <c:dLbl>
              <c:idx val="1"/>
              <c:layout>
                <c:manualLayout>
                  <c:x val="2.3515579071134627E-3"/>
                  <c:y val="-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BD-437D-B7FC-1A7B7534FCEB}"/>
                </c:ext>
              </c:extLst>
            </c:dLbl>
            <c:dLbl>
              <c:idx val="2"/>
              <c:layout>
                <c:manualLayout>
                  <c:x val="7.0546245010512923E-3"/>
                  <c:y val="-2.8508771929824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0BD-437D-B7FC-1A7B7534FC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1"/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'VII C.2 Comp D Pub Dir Ext Geo '!$D$47:$D$49</c:f>
              <c:strCache>
                <c:ptCount val="3"/>
                <c:pt idx="0">
                  <c:v>Norteamérica</c:v>
                </c:pt>
                <c:pt idx="1">
                  <c:v>Europa</c:v>
                </c:pt>
                <c:pt idx="2">
                  <c:v>Multinacionales</c:v>
                </c:pt>
              </c:strCache>
            </c:strRef>
          </c:cat>
          <c:val>
            <c:numRef>
              <c:f>'VII C.2 Comp D Pub Dir Ext Geo '!$E$47:$E$49</c:f>
              <c:numCache>
                <c:formatCode>#,##0;[Red]\-#,##0;"-"</c:formatCode>
                <c:ptCount val="3"/>
                <c:pt idx="0">
                  <c:v>37242100938.289764</c:v>
                </c:pt>
                <c:pt idx="1">
                  <c:v>51768043.659980901</c:v>
                </c:pt>
                <c:pt idx="2">
                  <c:v>2121782887.634825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BD-437D-B7FC-1A7B7534FCEB}"/>
            </c:ext>
          </c:extLst>
        </c:ser>
        <c:ser>
          <c:idx val="1"/>
          <c:order val="1"/>
          <c:tx>
            <c:strRef>
              <c:f>'VII C.2 Comp D Pub Dir Ext Geo '!$F$46</c:f>
              <c:strCache>
                <c:ptCount val="1"/>
                <c:pt idx="0">
                  <c:v>31 de Diciembre 2024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Lbls>
            <c:dLbl>
              <c:idx val="0"/>
              <c:layout>
                <c:manualLayout>
                  <c:x val="1.8812463256907701E-2"/>
                  <c:y val="-1.8518518518518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0BD-437D-B7FC-1A7B7534FCEB}"/>
                </c:ext>
              </c:extLst>
            </c:dLbl>
            <c:dLbl>
              <c:idx val="1"/>
              <c:layout>
                <c:manualLayout>
                  <c:x val="3.5809258019962695E-2"/>
                  <c:y val="-9.503039093797566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0BD-437D-B7FC-1A7B7534FCEB}"/>
                </c:ext>
              </c:extLst>
            </c:dLbl>
            <c:dLbl>
              <c:idx val="2"/>
              <c:layout>
                <c:manualLayout>
                  <c:x val="5.0275614282391919E-2"/>
                  <c:y val="-1.53508771929825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0BD-437D-B7FC-1A7B7534FC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1"/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'VII C.2 Comp D Pub Dir Ext Geo '!$D$47:$D$49</c:f>
              <c:strCache>
                <c:ptCount val="3"/>
                <c:pt idx="0">
                  <c:v>Norteamérica</c:v>
                </c:pt>
                <c:pt idx="1">
                  <c:v>Europa</c:v>
                </c:pt>
                <c:pt idx="2">
                  <c:v>Multinacionales</c:v>
                </c:pt>
              </c:strCache>
            </c:strRef>
          </c:cat>
          <c:val>
            <c:numRef>
              <c:f>'VII C.2 Comp D Pub Dir Ext Geo '!$F$47:$F$49</c:f>
              <c:numCache>
                <c:formatCode>#,##0;[Red]\-#,##0;"-"</c:formatCode>
                <c:ptCount val="3"/>
                <c:pt idx="0">
                  <c:v>44277690973.540367</c:v>
                </c:pt>
                <c:pt idx="1">
                  <c:v>36807491.058293603</c:v>
                </c:pt>
                <c:pt idx="2">
                  <c:v>2477323877.2654982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0BD-437D-B7FC-1A7B7534F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4293376"/>
        <c:axId val="114307456"/>
        <c:axId val="0"/>
      </c:bar3DChart>
      <c:catAx>
        <c:axId val="1142933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CL"/>
          </a:p>
        </c:txPr>
        <c:crossAx val="114307456"/>
        <c:crosses val="autoZero"/>
        <c:auto val="1"/>
        <c:lblAlgn val="ctr"/>
        <c:lblOffset val="100"/>
        <c:noMultiLvlLbl val="0"/>
      </c:catAx>
      <c:valAx>
        <c:axId val="114307456"/>
        <c:scaling>
          <c:orientation val="minMax"/>
        </c:scaling>
        <c:delete val="0"/>
        <c:axPos val="l"/>
        <c:numFmt formatCode="#,##0;[Red]\-#,##0;&quot;-&quot;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s-CL"/>
          </a:p>
        </c:txPr>
        <c:crossAx val="114293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647739402945001"/>
          <c:y val="0.2866531787693205"/>
          <c:w val="0.27878866993477669"/>
          <c:h val="0.16743438320209975"/>
        </c:manualLayout>
      </c:layout>
      <c:overlay val="0"/>
      <c:txPr>
        <a:bodyPr/>
        <a:lstStyle/>
        <a:p>
          <a:pPr>
            <a:defRPr sz="900"/>
          </a:pPr>
          <a:endParaRPr lang="es-CL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200025</xdr:colOff>
      <xdr:row>22</xdr:row>
      <xdr:rowOff>28575</xdr:rowOff>
    </xdr:from>
    <xdr:ext cx="3467100" cy="657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3615625" y="3451917"/>
          <a:ext cx="3460751" cy="656167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just" rtl="0">
            <a:spcBef>
              <a:spcPts val="0"/>
            </a:spcBef>
            <a:spcAft>
              <a:spcPts val="0"/>
            </a:spcAft>
            <a:buNone/>
          </a:pPr>
          <a:r>
            <a:rPr lang="en-US" sz="9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El siguiente gráfico muestra  la Deuda Pública Interna y Externa que administra el Tesoro Público, separándola en Directa e Indirecta.</a:t>
          </a:r>
          <a:endParaRPr sz="1400"/>
        </a:p>
        <a:p>
          <a:pPr marL="0" lvl="0" indent="0" algn="just" rtl="0">
            <a:spcBef>
              <a:spcPts val="0"/>
            </a:spcBef>
            <a:spcAft>
              <a:spcPts val="0"/>
            </a:spcAft>
            <a:buNone/>
          </a:pPr>
          <a:r>
            <a:rPr lang="en-US" sz="9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 puede apreciar que la Deuda Interna Directa representa el 65,0% de la deuda interna total.</a:t>
          </a:r>
          <a:endParaRPr sz="1400"/>
        </a:p>
      </xdr:txBody>
    </xdr:sp>
    <xdr:clientData fLocksWithSheet="0"/>
  </xdr:oneCellAnchor>
  <xdr:twoCellAnchor>
    <xdr:from>
      <xdr:col>1</xdr:col>
      <xdr:colOff>601980</xdr:colOff>
      <xdr:row>27</xdr:row>
      <xdr:rowOff>45720</xdr:rowOff>
    </xdr:from>
    <xdr:to>
      <xdr:col>7</xdr:col>
      <xdr:colOff>632885</xdr:colOff>
      <xdr:row>45</xdr:row>
      <xdr:rowOff>37890</xdr:rowOff>
    </xdr:to>
    <xdr:graphicFrame macro="">
      <xdr:nvGraphicFramePr>
        <xdr:cNvPr id="4" name="1 Gráfico">
          <a:extLst>
            <a:ext uri="{FF2B5EF4-FFF2-40B4-BE49-F238E27FC236}">
              <a16:creationId xmlns:a16="http://schemas.microsoft.com/office/drawing/2014/main" id="{36BD3E5B-5F9D-4646-A1C1-082EBD318E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95250</xdr:colOff>
      <xdr:row>20</xdr:row>
      <xdr:rowOff>47625</xdr:rowOff>
    </xdr:from>
    <xdr:ext cx="3467100" cy="8382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/>
      </xdr:nvSpPr>
      <xdr:spPr>
        <a:xfrm>
          <a:off x="3617213" y="3365663"/>
          <a:ext cx="3457575" cy="8286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just" rtl="0">
            <a:spcBef>
              <a:spcPts val="0"/>
            </a:spcBef>
            <a:spcAft>
              <a:spcPts val="0"/>
            </a:spcAft>
            <a:buNone/>
          </a:pPr>
          <a:r>
            <a:rPr lang="en-US" sz="9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El siguiente gráfico muestra un comparación entre el año 2023 y 2024 de la Deuda Pública externa Directa que administra el Tesoro Público, según la distribución por areas geograficas. </a:t>
          </a:r>
          <a:endParaRPr sz="1400"/>
        </a:p>
        <a:p>
          <a:pPr marL="0" lvl="0" indent="0" algn="just" rtl="0">
            <a:spcBef>
              <a:spcPts val="0"/>
            </a:spcBef>
            <a:spcAft>
              <a:spcPts val="0"/>
            </a:spcAft>
            <a:buNone/>
          </a:pPr>
          <a:r>
            <a:rPr lang="en-US" sz="9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 puede apreciar que en Norteamérica se concentra la mayor parte de Deuda Externa.</a:t>
          </a:r>
          <a:endParaRPr sz="900" i="1"/>
        </a:p>
      </xdr:txBody>
    </xdr:sp>
    <xdr:clientData fLocksWithSheet="0"/>
  </xdr:oneCellAnchor>
  <xdr:twoCellAnchor>
    <xdr:from>
      <xdr:col>1</xdr:col>
      <xdr:colOff>152400</xdr:colOff>
      <xdr:row>24</xdr:row>
      <xdr:rowOff>114300</xdr:rowOff>
    </xdr:from>
    <xdr:to>
      <xdr:col>8</xdr:col>
      <xdr:colOff>403860</xdr:colOff>
      <xdr:row>44</xdr:row>
      <xdr:rowOff>114300</xdr:rowOff>
    </xdr:to>
    <xdr:graphicFrame macro="">
      <xdr:nvGraphicFramePr>
        <xdr:cNvPr id="5" name="2 Gráfico">
          <a:extLst>
            <a:ext uri="{FF2B5EF4-FFF2-40B4-BE49-F238E27FC236}">
              <a16:creationId xmlns:a16="http://schemas.microsoft.com/office/drawing/2014/main" id="{F8D4D5A5-AF19-4E07-B911-0D6CDEA2B2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/GG/DEGR/Wilshire/Agencia_Fiscal/Documents%20and%20Settings/rsantiba/Configuraci&#243;n%20local/Archivos%20temporales%20de%20Internet/OLK1B5/HGC_FEESMATRIZ_22_mayo_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GR3241\Users\DAT\GG\DEGR\Wilshire\Agencia_Fiscal\TEMP\Comp_Matriz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GR0686\1.-%20Gesti&#243;n\2014%20MSA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GR3241\Users\IAS\3CMC05HA01\IAC%20Clients\Banco%20Central%20de%20Chile\2011\05%20-%20May\Week%204\27\FEES\FEES%20Daily%20Template%2005-26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GR3241\Users\data\J977380\PAY-REC%20P87909%2005-18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GR3241\Users\DAT\GG\DEGR\Wilshire\Agencia_Fiscal\Documents%20and%20Settings\rsantiba\Configuraci&#243;n%20local\Archivos%20temporales%20de%20Internet\OLK1B5\HGC_FEESMATRIZ_22_mayo_200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GR3241\Users\IAS\3CMC05HA01\IAC%20Clients\Banco%20Central%20de%20Chile\2011\06%20-%20June\Week%205\27\FRP\PAY-REC%20P87909%2006-23.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GR3241\Users\Users\fcaballero\Desktop\labores%20a%20desarrollar\variaciones%20fees\IAS\3CMC05HA01\Banco%20Central%20de%20Chile\2007\2007%20-%20June\Week%203\11\P87894%20Pay%20&amp;%20Rec%206.11.0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ntas"/>
      <sheetName val="Vence"/>
      <sheetName val="INFORME"/>
      <sheetName val="CUADROS"/>
      <sheetName val="MATRIZ"/>
      <sheetName val="MATRIZContable"/>
      <sheetName val="Riesgo"/>
      <sheetName val="RiesgoBanc"/>
      <sheetName val="Fwd "/>
      <sheetName val="CajaInd"/>
      <sheetName val="Dur Bonos"/>
      <sheetName val="Tablas"/>
      <sheetName val="Vencimientos USD"/>
      <sheetName val="Vencimientos ML"/>
      <sheetName val="Bancario"/>
      <sheetName val="TasaFRN"/>
      <sheetName val="TasasLibid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_Matriz"/>
      <sheetName val="weights1"/>
      <sheetName val="Hoja1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queo"/>
      <sheetName val="carta rescate ffmm"/>
      <sheetName val="carta TOMA ffmm (2)"/>
      <sheetName val="STOCK (ACTUALIZAR)"/>
      <sheetName val="Hoja6"/>
      <sheetName val="Hoja1"/>
      <sheetName val="Hoja2"/>
      <sheetName val="Hoja3"/>
      <sheetName val="Hoja4"/>
      <sheetName val="Hoja5"/>
      <sheetName val="Hoja7"/>
      <sheetName val="INFORME STOCK"/>
      <sheetName val="INGRESO DE INVERSIONES"/>
      <sheetName val="informe final devengado"/>
      <sheetName val="DEVENGADOS."/>
      <sheetName val="Ingreso de Fondos Mutuos"/>
      <sheetName val="pactos"/>
      <sheetName val="Tasas"/>
      <sheetName val="EMISION DE CARTA usd"/>
      <sheetName val="EMISION DE CARTA"/>
      <sheetName val="EMISION DE CARTA (2)"/>
      <sheetName val="EMISION DE CARTA RETROCOMPRA"/>
      <sheetName val="BASE "/>
      <sheetName val="BASE RIESGO"/>
      <sheetName val="REC Y INV."/>
      <sheetName val="grafico"/>
      <sheetName val="MHISTOR"/>
      <sheetName val="STOCK INFORME TIC"/>
      <sheetName val="INV"/>
      <sheetName val="REC"/>
      <sheetName val="rescate anticipado"/>
      <sheetName val="base valor de mercado"/>
      <sheetName val="stock valor de mercado"/>
    </sheetNames>
    <sheetDataSet>
      <sheetData sheetId="0"/>
      <sheetData sheetId="1"/>
      <sheetData sheetId="2"/>
      <sheetData sheetId="3">
        <row r="8">
          <cell r="A8" t="str">
            <v>llave1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B2" t="str">
            <v>PESO</v>
          </cell>
          <cell r="C2" t="str">
            <v>AGF SCOTIABANK</v>
          </cell>
          <cell r="D2" t="str">
            <v>ESTADO CORREDORA</v>
          </cell>
          <cell r="E2" t="str">
            <v>PACTO</v>
          </cell>
          <cell r="F2" t="str">
            <v>AUSTRIA BUND</v>
          </cell>
        </row>
        <row r="3">
          <cell r="B3" t="str">
            <v>USD</v>
          </cell>
          <cell r="C3" t="str">
            <v>BANCHILE AGF</v>
          </cell>
          <cell r="D3" t="str">
            <v>ESTADO</v>
          </cell>
          <cell r="E3" t="str">
            <v>BONO</v>
          </cell>
          <cell r="F3" t="str">
            <v>BCP</v>
          </cell>
        </row>
        <row r="4">
          <cell r="B4" t="str">
            <v>UF</v>
          </cell>
          <cell r="C4" t="str">
            <v>BANK OF MONTREAL</v>
          </cell>
          <cell r="D4" t="str">
            <v>JP MORGAN</v>
          </cell>
          <cell r="E4" t="str">
            <v>DEPOSITO</v>
          </cell>
          <cell r="F4" t="str">
            <v>BCU</v>
          </cell>
        </row>
        <row r="5">
          <cell r="C5" t="str">
            <v xml:space="preserve">BANK OF NOVA </v>
          </cell>
          <cell r="D5" t="str">
            <v>ESTADO NEW YORK</v>
          </cell>
          <cell r="E5" t="str">
            <v>CERTIFICADO</v>
          </cell>
          <cell r="F5" t="str">
            <v>BNP PARIBAS GLF USD</v>
          </cell>
        </row>
        <row r="6">
          <cell r="C6" t="str">
            <v>BARCLAYS BANK</v>
          </cell>
          <cell r="D6" t="str">
            <v>ITAU</v>
          </cell>
          <cell r="E6" t="str">
            <v>FONDO MUTUO</v>
          </cell>
          <cell r="F6" t="str">
            <v>CANADA BOND</v>
          </cell>
        </row>
        <row r="7">
          <cell r="C7" t="str">
            <v>BAYERISCHE</v>
          </cell>
          <cell r="D7" t="str">
            <v>SCOTIABANK</v>
          </cell>
          <cell r="E7" t="str">
            <v>PDBC</v>
          </cell>
          <cell r="F7" t="str">
            <v>CAPITAL FINANCIERO A</v>
          </cell>
        </row>
        <row r="8">
          <cell r="C8" t="str">
            <v>BAYERISCHE LANDESBANK NY</v>
          </cell>
          <cell r="D8" t="str">
            <v>CHILE</v>
          </cell>
          <cell r="E8" t="str">
            <v>SOVEREIGN BOND</v>
          </cell>
          <cell r="F8" t="str">
            <v>CASH</v>
          </cell>
        </row>
        <row r="9">
          <cell r="C9" t="str">
            <v>BBVA</v>
          </cell>
          <cell r="D9" t="str">
            <v>CORPBANCA</v>
          </cell>
          <cell r="E9" t="str">
            <v>FONDO MUTUO</v>
          </cell>
          <cell r="F9" t="str">
            <v>CASH I</v>
          </cell>
        </row>
        <row r="10">
          <cell r="C10" t="str">
            <v>BBVA AGF</v>
          </cell>
          <cell r="D10" t="str">
            <v>BCI</v>
          </cell>
          <cell r="E10" t="str">
            <v>PDBC</v>
          </cell>
          <cell r="F10" t="str">
            <v>CD</v>
          </cell>
        </row>
        <row r="11">
          <cell r="C11" t="str">
            <v>BBVA NY</v>
          </cell>
          <cell r="D11" t="str">
            <v>SECURITY</v>
          </cell>
          <cell r="F11" t="str">
            <v>CD BANCO ESTADO NY</v>
          </cell>
        </row>
        <row r="12">
          <cell r="C12" t="str">
            <v>BCI</v>
          </cell>
          <cell r="D12" t="str">
            <v>HSBC</v>
          </cell>
          <cell r="F12" t="str">
            <v>CD BANK OF TOKYO</v>
          </cell>
        </row>
        <row r="13">
          <cell r="C13" t="str">
            <v>BCI AGF</v>
          </cell>
          <cell r="D13" t="str">
            <v>CENTRAL</v>
          </cell>
          <cell r="F13" t="str">
            <v>CD BANK TOKIO</v>
          </cell>
        </row>
        <row r="14">
          <cell r="C14" t="str">
            <v>BICE</v>
          </cell>
          <cell r="D14" t="str">
            <v>SANTANDER</v>
          </cell>
          <cell r="F14" t="str">
            <v>CD BANK TOKYO</v>
          </cell>
        </row>
        <row r="15">
          <cell r="C15" t="str">
            <v>BICE AGF</v>
          </cell>
          <cell r="F15" t="str">
            <v>CD BARERISCHE</v>
          </cell>
        </row>
        <row r="16">
          <cell r="C16" t="str">
            <v>BNP PARIBAS</v>
          </cell>
          <cell r="F16" t="str">
            <v>CD BAYERISCHE</v>
          </cell>
        </row>
        <row r="17">
          <cell r="C17" t="str">
            <v>CENTRAL</v>
          </cell>
          <cell r="F17" t="str">
            <v>CD BBVA</v>
          </cell>
        </row>
        <row r="18">
          <cell r="C18" t="str">
            <v>CHILE</v>
          </cell>
          <cell r="F18" t="str">
            <v>CD BBVA</v>
          </cell>
        </row>
        <row r="19">
          <cell r="C19" t="str">
            <v>CORPBANCA</v>
          </cell>
          <cell r="F19" t="str">
            <v>CD BENY</v>
          </cell>
        </row>
        <row r="20">
          <cell r="C20" t="str">
            <v>CORPBANCA AGF</v>
          </cell>
          <cell r="F20" t="str">
            <v>CD BNP PARIAS</v>
          </cell>
        </row>
        <row r="21">
          <cell r="C21" t="str">
            <v xml:space="preserve">CORPBANCA CORREDORA </v>
          </cell>
          <cell r="F21" t="str">
            <v>CD BNP PARIBAS</v>
          </cell>
        </row>
        <row r="22">
          <cell r="C22" t="str">
            <v>CREDIT AGRICOLE CORP AND INV BANK</v>
          </cell>
          <cell r="F22" t="str">
            <v>CD COMMERBANK</v>
          </cell>
        </row>
        <row r="23">
          <cell r="C23" t="str">
            <v>CREDIT SUISSE NY</v>
          </cell>
          <cell r="F23" t="str">
            <v>CD CREDIT AGRICOLE</v>
          </cell>
        </row>
        <row r="24">
          <cell r="C24" t="str">
            <v>DNB NORBANK</v>
          </cell>
          <cell r="F24" t="str">
            <v>CD CREDIT AGRICOLE</v>
          </cell>
        </row>
        <row r="25">
          <cell r="C25" t="str">
            <v>DZ BANK</v>
          </cell>
          <cell r="F25" t="str">
            <v>CD CREDIT SUISSE</v>
          </cell>
        </row>
        <row r="26">
          <cell r="C26" t="str">
            <v>ESTADO</v>
          </cell>
          <cell r="F26" t="str">
            <v>CD ERSTE</v>
          </cell>
        </row>
        <row r="27">
          <cell r="C27" t="str">
            <v>ESTADO ADM FFMM</v>
          </cell>
          <cell r="F27" t="str">
            <v>CD ERSTE BANK</v>
          </cell>
        </row>
        <row r="28">
          <cell r="C28" t="str">
            <v>ESTADO CORREDORA</v>
          </cell>
          <cell r="F28" t="str">
            <v>CD INTESA</v>
          </cell>
        </row>
        <row r="29">
          <cell r="C29" t="str">
            <v>ESTADO NEW YORK</v>
          </cell>
          <cell r="F29" t="str">
            <v>CD INTESA</v>
          </cell>
        </row>
        <row r="30">
          <cell r="C30" t="str">
            <v>GERMAN BUND</v>
          </cell>
          <cell r="F30" t="str">
            <v>CD LANDES BANK</v>
          </cell>
        </row>
        <row r="31">
          <cell r="C31" t="str">
            <v>HSBC</v>
          </cell>
          <cell r="F31" t="str">
            <v>CD LANDES BANK BADEN</v>
          </cell>
        </row>
        <row r="32">
          <cell r="C32" t="str">
            <v>INTESA SANPAOLO SPA</v>
          </cell>
          <cell r="F32" t="str">
            <v>CD LANDESBANK</v>
          </cell>
        </row>
        <row r="33">
          <cell r="C33" t="str">
            <v>ITAU</v>
          </cell>
          <cell r="F33" t="str">
            <v>CD LBADEN</v>
          </cell>
        </row>
        <row r="34">
          <cell r="C34" t="str">
            <v>ITAU CHILE AGF</v>
          </cell>
          <cell r="F34" t="str">
            <v>CD MIZUHO</v>
          </cell>
        </row>
        <row r="35">
          <cell r="C35" t="str">
            <v>JP MORGAN</v>
          </cell>
          <cell r="F35" t="str">
            <v>CD NATEXIS</v>
          </cell>
        </row>
        <row r="36">
          <cell r="C36" t="str">
            <v>KINGDOM OF DENM</v>
          </cell>
          <cell r="F36" t="str">
            <v>CD NATEXIS</v>
          </cell>
        </row>
        <row r="37">
          <cell r="C37" t="str">
            <v>LANDESBANK BADEN-WUERTTEMBERG</v>
          </cell>
          <cell r="F37" t="str">
            <v>CD NATEXIS BANQUE</v>
          </cell>
        </row>
        <row r="38">
          <cell r="C38" t="str">
            <v>LANDESBANK HESSEN-THUERINGEN</v>
          </cell>
          <cell r="F38" t="str">
            <v>CD NORINCHUKIN</v>
          </cell>
        </row>
        <row r="39">
          <cell r="C39" t="str">
            <v>LLOYS TBS BANK</v>
          </cell>
          <cell r="F39" t="str">
            <v>CD NORINCHUKIN</v>
          </cell>
        </row>
        <row r="40">
          <cell r="C40" t="str">
            <v>NATEXIS BANQUES POPULAIRES</v>
          </cell>
          <cell r="F40" t="str">
            <v>CD NORINCHUKYN</v>
          </cell>
        </row>
        <row r="41">
          <cell r="C41" t="str">
            <v>NORDEA BANK</v>
          </cell>
          <cell r="F41" t="str">
            <v>CD SEB</v>
          </cell>
        </row>
        <row r="42">
          <cell r="C42" t="str">
            <v>NORINCHUKIN BANK</v>
          </cell>
          <cell r="F42" t="str">
            <v>CD SKANDINAVISKA</v>
          </cell>
        </row>
        <row r="43">
          <cell r="C43" t="str">
            <v>PENTA</v>
          </cell>
          <cell r="F43" t="str">
            <v>CD SUMITOMO</v>
          </cell>
        </row>
        <row r="44">
          <cell r="C44" t="str">
            <v>RABOBANK</v>
          </cell>
          <cell r="F44" t="str">
            <v>CD SUMITOMO</v>
          </cell>
        </row>
        <row r="45">
          <cell r="C45" t="str">
            <v>REPUBLIC OF AUSTRIA</v>
          </cell>
          <cell r="F45" t="str">
            <v>CD SVENSKA</v>
          </cell>
        </row>
        <row r="46">
          <cell r="C46" t="str">
            <v>SANTANDER</v>
          </cell>
          <cell r="F46" t="str">
            <v>CD UBS</v>
          </cell>
        </row>
        <row r="47">
          <cell r="C47" t="str">
            <v>SANTANDER AGV</v>
          </cell>
          <cell r="F47" t="str">
            <v>CD UNICREDITO</v>
          </cell>
        </row>
        <row r="48">
          <cell r="C48" t="str">
            <v>SANTANDER ASSET M AGF</v>
          </cell>
          <cell r="F48" t="str">
            <v>CD UNICREDITO</v>
          </cell>
        </row>
        <row r="49">
          <cell r="C49" t="str">
            <v>SCOTIABANK</v>
          </cell>
          <cell r="F49" t="str">
            <v>CERO</v>
          </cell>
        </row>
        <row r="50">
          <cell r="C50" t="str">
            <v>SEB NY</v>
          </cell>
          <cell r="F50" t="str">
            <v>CERTIFICADO</v>
          </cell>
        </row>
        <row r="51">
          <cell r="C51" t="str">
            <v>SECURITY</v>
          </cell>
          <cell r="F51" t="str">
            <v>CLIPPER B</v>
          </cell>
        </row>
        <row r="52">
          <cell r="C52" t="str">
            <v>SKANDINAVISKA</v>
          </cell>
          <cell r="F52" t="str">
            <v>COMPETITIVO</v>
          </cell>
        </row>
        <row r="53">
          <cell r="F53" t="str">
            <v>COMPETITIVO ALTO PATRIMONIO</v>
          </cell>
        </row>
        <row r="54">
          <cell r="C54" t="str">
            <v>SVENSKA</v>
          </cell>
          <cell r="F54" t="str">
            <v>CONVENIENCIA</v>
          </cell>
        </row>
        <row r="55">
          <cell r="C55" t="str">
            <v>SWED BANK</v>
          </cell>
          <cell r="F55" t="str">
            <v>CORPORATIVO</v>
          </cell>
        </row>
        <row r="56">
          <cell r="C56" t="str">
            <v>TORONTO DOMINION</v>
          </cell>
          <cell r="F56" t="str">
            <v>CORPORATIVO I</v>
          </cell>
        </row>
        <row r="57">
          <cell r="C57" t="str">
            <v>UBS AG STAMFORD CT</v>
          </cell>
          <cell r="F57" t="str">
            <v>CORPORATIVO V</v>
          </cell>
        </row>
        <row r="58">
          <cell r="C58" t="str">
            <v>UNICREDITO ITALIANO</v>
          </cell>
          <cell r="F58" t="str">
            <v>DENMARK BUND</v>
          </cell>
        </row>
        <row r="59">
          <cell r="C59" t="str">
            <v>US TREASURY</v>
          </cell>
          <cell r="F59" t="str">
            <v>DEPOSITO EFECTIVO CLASICO</v>
          </cell>
        </row>
        <row r="60">
          <cell r="C60" t="str">
            <v>NETHERLANDS GOVERMENT</v>
          </cell>
          <cell r="F60" t="str">
            <v>DPD</v>
          </cell>
        </row>
        <row r="61">
          <cell r="C61" t="str">
            <v>BCI CORREDORA</v>
          </cell>
          <cell r="F61" t="str">
            <v>DPF</v>
          </cell>
        </row>
        <row r="62">
          <cell r="F62" t="str">
            <v>EFECTIVO GAMMA</v>
          </cell>
        </row>
        <row r="63">
          <cell r="F63" t="str">
            <v>EFICIENTE</v>
          </cell>
        </row>
        <row r="64">
          <cell r="F64" t="str">
            <v>FINLAND BOND</v>
          </cell>
        </row>
        <row r="65">
          <cell r="F65" t="str">
            <v>GERMAN BUND</v>
          </cell>
        </row>
        <row r="66">
          <cell r="F66" t="str">
            <v>ITAU SELECT</v>
          </cell>
        </row>
        <row r="67">
          <cell r="F67" t="str">
            <v>LIQUIDEZ 2000</v>
          </cell>
        </row>
        <row r="68">
          <cell r="F68" t="str">
            <v>LIQUIDEZ FULL</v>
          </cell>
        </row>
        <row r="69">
          <cell r="F69" t="str">
            <v>MANAGER SERIE I</v>
          </cell>
        </row>
        <row r="70">
          <cell r="F70" t="str">
            <v>MONETARIO</v>
          </cell>
        </row>
        <row r="71">
          <cell r="F71" t="str">
            <v>MONETARIO CORPORATIVO</v>
          </cell>
        </row>
        <row r="72">
          <cell r="F72" t="str">
            <v>MONEY MARKET V</v>
          </cell>
        </row>
        <row r="73">
          <cell r="F73" t="str">
            <v>MONEY MARKET B</v>
          </cell>
        </row>
        <row r="74">
          <cell r="F74" t="str">
            <v xml:space="preserve">CAPITAL EFECTIVO </v>
          </cell>
        </row>
        <row r="75">
          <cell r="F75" t="str">
            <v>PATRIMONIAL A</v>
          </cell>
        </row>
        <row r="76">
          <cell r="F76" t="str">
            <v>MONEY MARKET EJECUTIVO</v>
          </cell>
        </row>
        <row r="77">
          <cell r="F77" t="str">
            <v>NETHERLAND BOND</v>
          </cell>
        </row>
        <row r="78">
          <cell r="F78" t="str">
            <v>OPORTUNIDAD</v>
          </cell>
        </row>
        <row r="79">
          <cell r="F79" t="str">
            <v>OPORTUNIDAD M5</v>
          </cell>
        </row>
        <row r="80">
          <cell r="F80" t="str">
            <v>PDBC</v>
          </cell>
        </row>
        <row r="81">
          <cell r="F81" t="str">
            <v>CAPITAL EMPRESARIAL</v>
          </cell>
        </row>
        <row r="82">
          <cell r="F82" t="str">
            <v>PLUS</v>
          </cell>
        </row>
        <row r="83">
          <cell r="F83" t="str">
            <v>PRIORIDAD B</v>
          </cell>
        </row>
        <row r="84">
          <cell r="F84" t="str">
            <v>PROXIMIDAD</v>
          </cell>
        </row>
        <row r="85">
          <cell r="F85" t="str">
            <v>CONVENIENCIA I</v>
          </cell>
        </row>
        <row r="86">
          <cell r="F86" t="str">
            <v>REAJUSTABLE</v>
          </cell>
        </row>
        <row r="87">
          <cell r="F87" t="str">
            <v>RETROCOMPRA</v>
          </cell>
        </row>
        <row r="88">
          <cell r="F88" t="str">
            <v>RETROVENTA</v>
          </cell>
        </row>
        <row r="89">
          <cell r="F89" t="str">
            <v>SOLVENTE</v>
          </cell>
        </row>
        <row r="90">
          <cell r="F90" t="str">
            <v>SOLVENTE A</v>
          </cell>
        </row>
        <row r="91">
          <cell r="F91" t="str">
            <v>SOLVENTE I</v>
          </cell>
        </row>
        <row r="92">
          <cell r="F92" t="str">
            <v>SWEDEN BOND</v>
          </cell>
        </row>
        <row r="93">
          <cell r="F93" t="str">
            <v>T-BILL</v>
          </cell>
        </row>
        <row r="94">
          <cell r="F94" t="str">
            <v>TESORERIA CORPORATIVO</v>
          </cell>
        </row>
        <row r="95">
          <cell r="F95" t="str">
            <v>TESORERIA EJECUTIVO</v>
          </cell>
        </row>
        <row r="96">
          <cell r="F96" t="str">
            <v>TIME DEPOSIT</v>
          </cell>
        </row>
        <row r="97">
          <cell r="F97" t="str">
            <v>T-NOTES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loomberg duration lookup"/>
      <sheetName val="Spectra"/>
      <sheetName val="Holdings"/>
      <sheetName val="PAY-REC"/>
      <sheetName val="MKTVS checks"/>
      <sheetName val="Algo Durations"/>
      <sheetName val="Algo Currency&amp;Sector"/>
      <sheetName val="Flat File"/>
      <sheetName val="Relative Performance - Sector"/>
      <sheetName val="Compliance Report"/>
      <sheetName val="Performance"/>
      <sheetName val="Relative Perf - Sector"/>
      <sheetName val="Compliance"/>
      <sheetName val="Performance "/>
      <sheetName val="Relative Risk"/>
      <sheetName val="Disclaimer"/>
    </sheetNames>
    <sheetDataSet>
      <sheetData sheetId="0">
        <row r="1">
          <cell r="C1" t="str">
            <v>DUR_ADJ_BID</v>
          </cell>
        </row>
        <row r="2">
          <cell r="A2" t="str">
            <v>Security ID</v>
          </cell>
        </row>
        <row r="3">
          <cell r="A3">
            <v>6042705</v>
          </cell>
          <cell r="B3" t="str">
            <v>6042705 govt</v>
          </cell>
          <cell r="C3">
            <v>6.0573317685500614</v>
          </cell>
        </row>
        <row r="4">
          <cell r="A4">
            <v>6129017</v>
          </cell>
          <cell r="B4" t="str">
            <v>6129017 govt</v>
          </cell>
          <cell r="C4">
            <v>6.4920638273850386</v>
          </cell>
        </row>
        <row r="5">
          <cell r="A5">
            <v>6344489</v>
          </cell>
          <cell r="B5" t="str">
            <v>6344489 govt</v>
          </cell>
          <cell r="C5">
            <v>8.47778569288805</v>
          </cell>
        </row>
        <row r="6">
          <cell r="A6">
            <v>6534398</v>
          </cell>
          <cell r="B6" t="str">
            <v>6534398 govt</v>
          </cell>
          <cell r="C6">
            <v>1.0415421511979817</v>
          </cell>
        </row>
        <row r="7">
          <cell r="A7">
            <v>6651231</v>
          </cell>
          <cell r="B7" t="str">
            <v>6651231 govt</v>
          </cell>
          <cell r="C7">
            <v>2.0374317269212079</v>
          </cell>
        </row>
        <row r="8">
          <cell r="A8">
            <v>6699112</v>
          </cell>
          <cell r="B8" t="str">
            <v>6699112 govt</v>
          </cell>
          <cell r="C8">
            <v>2.2852956573718166</v>
          </cell>
        </row>
        <row r="9">
          <cell r="A9">
            <v>6722267</v>
          </cell>
          <cell r="B9" t="str">
            <v>6722267 govt</v>
          </cell>
          <cell r="C9">
            <v>2.5223344256890519</v>
          </cell>
        </row>
        <row r="10">
          <cell r="A10">
            <v>6739331</v>
          </cell>
          <cell r="B10" t="str">
            <v>6739331 govt</v>
          </cell>
          <cell r="C10">
            <v>2.5240292187670557</v>
          </cell>
        </row>
        <row r="11">
          <cell r="A11">
            <v>7394665</v>
          </cell>
          <cell r="B11" t="str">
            <v>7394665 govt</v>
          </cell>
          <cell r="C11">
            <v>1.0301200138618989</v>
          </cell>
        </row>
        <row r="12">
          <cell r="A12">
            <v>7532432</v>
          </cell>
          <cell r="B12" t="str">
            <v>7532432 govt</v>
          </cell>
          <cell r="C12">
            <v>1.5303230994316848</v>
          </cell>
        </row>
        <row r="13">
          <cell r="A13">
            <v>7624641</v>
          </cell>
          <cell r="B13" t="str">
            <v>7624641 govt</v>
          </cell>
          <cell r="C13">
            <v>1.9556702725116195</v>
          </cell>
        </row>
        <row r="14">
          <cell r="A14">
            <v>7711275</v>
          </cell>
          <cell r="B14" t="str">
            <v>7711275 govt</v>
          </cell>
          <cell r="C14">
            <v>2.4360869787227752</v>
          </cell>
        </row>
        <row r="15">
          <cell r="A15" t="str">
            <v>9127953E9</v>
          </cell>
          <cell r="B15" t="str">
            <v>9127953E9 govt</v>
          </cell>
          <cell r="C15">
            <v>0.21641698287679748</v>
          </cell>
        </row>
        <row r="16">
          <cell r="A16" t="str">
            <v>9127952K6</v>
          </cell>
          <cell r="B16" t="str">
            <v>9127952K6 govt</v>
          </cell>
          <cell r="C16">
            <v>0.38893367732174011</v>
          </cell>
        </row>
        <row r="17">
          <cell r="A17" t="str">
            <v>9127952P5</v>
          </cell>
          <cell r="B17" t="str">
            <v>9127952P5 govt</v>
          </cell>
          <cell r="C17">
            <v>0.46554448249625879</v>
          </cell>
        </row>
        <row r="18">
          <cell r="A18" t="str">
            <v>9127952T7</v>
          </cell>
          <cell r="B18" t="str">
            <v>9127952T7 govt</v>
          </cell>
          <cell r="C18">
            <v>0.54226151172888493</v>
          </cell>
        </row>
        <row r="19">
          <cell r="A19" t="str">
            <v>9127952U4</v>
          </cell>
          <cell r="B19" t="str">
            <v>9127952U4 govt</v>
          </cell>
          <cell r="C19">
            <v>2.4657410958819102E-2</v>
          </cell>
        </row>
        <row r="20">
          <cell r="A20" t="str">
            <v>9127952V2</v>
          </cell>
          <cell r="B20" t="str">
            <v>9127952V2 govt</v>
          </cell>
          <cell r="C20">
            <v>4.3835129375646514E-2</v>
          </cell>
        </row>
        <row r="21">
          <cell r="A21" t="str">
            <v>9127952X8</v>
          </cell>
          <cell r="B21" t="str">
            <v>9127952X8 govt</v>
          </cell>
          <cell r="C21">
            <v>0.10136830022797244</v>
          </cell>
        </row>
        <row r="22">
          <cell r="A22" t="str">
            <v>9127952Y6</v>
          </cell>
          <cell r="B22" t="str">
            <v>9127952Y6 govt</v>
          </cell>
          <cell r="C22">
            <v>0.61891019711982564</v>
          </cell>
        </row>
        <row r="23">
          <cell r="A23" t="str">
            <v>9127952Z3</v>
          </cell>
          <cell r="B23" t="str">
            <v>9127952Z3 govt</v>
          </cell>
          <cell r="C23">
            <v>0.12054499847829116</v>
          </cell>
        </row>
        <row r="24">
          <cell r="A24" t="str">
            <v>9127953A7</v>
          </cell>
          <cell r="B24" t="str">
            <v>9127953A7 govt</v>
          </cell>
          <cell r="C24">
            <v>0.13972206849356805</v>
          </cell>
        </row>
        <row r="25">
          <cell r="A25" t="str">
            <v>9127953B5</v>
          </cell>
          <cell r="B25" t="str">
            <v>9127953B5 govt</v>
          </cell>
          <cell r="C25">
            <v>0.178070937975428</v>
          </cell>
        </row>
        <row r="26">
          <cell r="A26" t="str">
            <v>9127953C3</v>
          </cell>
          <cell r="B26" t="str">
            <v>9127953C3 govt</v>
          </cell>
          <cell r="C26">
            <v>0.69558338187023927</v>
          </cell>
        </row>
        <row r="27">
          <cell r="A27" t="str">
            <v>9127953D1</v>
          </cell>
          <cell r="B27" t="str">
            <v>9127953D1 govt</v>
          </cell>
          <cell r="C27">
            <v>0.19724252054747468</v>
          </cell>
        </row>
        <row r="28">
          <cell r="A28" t="str">
            <v>9127953F6</v>
          </cell>
          <cell r="B28" t="str">
            <v>9127953F6 govt</v>
          </cell>
          <cell r="C28">
            <v>0.2540655396179462</v>
          </cell>
        </row>
        <row r="29">
          <cell r="A29" t="str">
            <v>9127953G4</v>
          </cell>
          <cell r="B29" t="str">
            <v>9127953G4 govt</v>
          </cell>
          <cell r="C29">
            <v>0.77009746923939049</v>
          </cell>
        </row>
        <row r="30">
          <cell r="A30" t="str">
            <v>9127953J8</v>
          </cell>
          <cell r="B30" t="str">
            <v>9127953J8 govt</v>
          </cell>
          <cell r="C30">
            <v>0.27318609593107668</v>
          </cell>
        </row>
        <row r="31">
          <cell r="A31" t="str">
            <v>9127953L3</v>
          </cell>
          <cell r="B31" t="str">
            <v>9127953L3 govt</v>
          </cell>
          <cell r="C31">
            <v>0.33054553354522709</v>
          </cell>
        </row>
        <row r="32">
          <cell r="A32" t="str">
            <v>912795W64</v>
          </cell>
          <cell r="B32" t="str">
            <v>912795W64 govt</v>
          </cell>
          <cell r="C32">
            <v>5.4794413996932436E-3</v>
          </cell>
        </row>
        <row r="33">
          <cell r="A33" t="str">
            <v>912795X63</v>
          </cell>
          <cell r="B33" t="str">
            <v>912795X63 govt</v>
          </cell>
          <cell r="C33">
            <v>0.15889898934523536</v>
          </cell>
        </row>
        <row r="34">
          <cell r="A34" t="str">
            <v>912828AF7</v>
          </cell>
          <cell r="B34" t="str">
            <v>912828AF7 govt</v>
          </cell>
          <cell r="C34">
            <v>0.54823830065144696</v>
          </cell>
        </row>
        <row r="35">
          <cell r="A35" t="str">
            <v>912828BD1</v>
          </cell>
          <cell r="B35" t="str">
            <v>912828BD1 govt</v>
          </cell>
          <cell r="C35">
            <v>1.0334791709692932</v>
          </cell>
        </row>
        <row r="36">
          <cell r="A36" t="str">
            <v>912828BH2</v>
          </cell>
          <cell r="B36" t="str">
            <v>912828BH2 govt</v>
          </cell>
          <cell r="C36">
            <v>2.1076105593268224</v>
          </cell>
        </row>
        <row r="37">
          <cell r="A37" t="str">
            <v>912828BW9</v>
          </cell>
          <cell r="B37" t="str">
            <v>912828BW9 govt</v>
          </cell>
          <cell r="C37">
            <v>1.2675812733756304</v>
          </cell>
        </row>
        <row r="38">
          <cell r="A38" t="str">
            <v>912828EA4</v>
          </cell>
          <cell r="B38" t="str">
            <v>912828EA4 govt</v>
          </cell>
          <cell r="C38">
            <v>1.9654059848857877</v>
          </cell>
        </row>
        <row r="39">
          <cell r="A39" t="str">
            <v>912828EE6</v>
          </cell>
          <cell r="B39" t="str">
            <v>912828EE6 govt</v>
          </cell>
          <cell r="C39">
            <v>3.8521555890458044</v>
          </cell>
        </row>
        <row r="40">
          <cell r="A40" t="str">
            <v>912828GD6</v>
          </cell>
          <cell r="B40" t="str">
            <v>912828GD6 govt</v>
          </cell>
          <cell r="C40">
            <v>2.6066433102938449</v>
          </cell>
        </row>
        <row r="41">
          <cell r="A41" t="str">
            <v>912828GN4</v>
          </cell>
          <cell r="B41" t="str">
            <v>912828GN4 govt</v>
          </cell>
          <cell r="C41">
            <v>0.43138383566599997</v>
          </cell>
        </row>
        <row r="42">
          <cell r="A42" t="str">
            <v>912828HN3</v>
          </cell>
          <cell r="B42" t="str">
            <v>912828HN3 govt</v>
          </cell>
          <cell r="C42">
            <v>3.1002504959323463</v>
          </cell>
        </row>
        <row r="43">
          <cell r="A43" t="str">
            <v>912828HT0</v>
          </cell>
          <cell r="B43" t="str">
            <v>912828HT0 govt</v>
          </cell>
          <cell r="C43">
            <v>1.7075441884688431</v>
          </cell>
        </row>
        <row r="44">
          <cell r="A44" t="str">
            <v>912828HV5</v>
          </cell>
          <cell r="B44" t="str">
            <v>912828HV5 govt</v>
          </cell>
          <cell r="C44">
            <v>1.7937728515222329</v>
          </cell>
        </row>
        <row r="45">
          <cell r="A45" t="str">
            <v>912828JE1</v>
          </cell>
          <cell r="B45" t="str">
            <v>912828JE1 govt</v>
          </cell>
          <cell r="C45">
            <v>3.3476329791686252</v>
          </cell>
        </row>
        <row r="46">
          <cell r="A46" t="str">
            <v>912828JG6</v>
          </cell>
          <cell r="B46" t="str">
            <v>912828JG6 govt</v>
          </cell>
          <cell r="C46">
            <v>2.0848247762571344</v>
          </cell>
        </row>
        <row r="47">
          <cell r="A47" t="str">
            <v>912828JR2</v>
          </cell>
          <cell r="B47" t="str">
            <v>912828JR2 govt</v>
          </cell>
          <cell r="C47">
            <v>6.5269116510594598</v>
          </cell>
        </row>
        <row r="48">
          <cell r="A48" t="str">
            <v>912828KD1</v>
          </cell>
          <cell r="B48" t="str">
            <v>912828KD1 govt</v>
          </cell>
          <cell r="C48">
            <v>6.8629594410760024</v>
          </cell>
        </row>
        <row r="49">
          <cell r="A49" t="str">
            <v>912828KK5</v>
          </cell>
          <cell r="B49" t="str">
            <v>912828KK5 govt</v>
          </cell>
          <cell r="C49">
            <v>0.87006006175574813</v>
          </cell>
        </row>
        <row r="50">
          <cell r="A50" t="str">
            <v>912828KM1</v>
          </cell>
          <cell r="B50" t="str">
            <v>912828KM1 govt</v>
          </cell>
          <cell r="C50">
            <v>1.402895655062955</v>
          </cell>
        </row>
        <row r="51">
          <cell r="A51" t="str">
            <v>912828LH1</v>
          </cell>
          <cell r="B51" t="str">
            <v>912828LH1 govt</v>
          </cell>
          <cell r="C51">
            <v>1.1955843714257037</v>
          </cell>
        </row>
        <row r="52">
          <cell r="A52" t="str">
            <v>912828LQ1</v>
          </cell>
          <cell r="B52" t="str">
            <v>912828LQ1 govt</v>
          </cell>
          <cell r="C52">
            <v>3.2004517440853406</v>
          </cell>
        </row>
        <row r="53">
          <cell r="A53" t="str">
            <v>912828LU2</v>
          </cell>
          <cell r="B53" t="str">
            <v>912828LU2 govt</v>
          </cell>
          <cell r="C53">
            <v>4.9807759245106507</v>
          </cell>
        </row>
        <row r="54">
          <cell r="A54" t="str">
            <v>912828LX6</v>
          </cell>
          <cell r="B54" t="str">
            <v>912828LX6 govt</v>
          </cell>
          <cell r="C54">
            <v>1.4440972205674891</v>
          </cell>
        </row>
        <row r="55">
          <cell r="A55" t="str">
            <v>912828LZ1</v>
          </cell>
          <cell r="B55" t="str">
            <v>912828LZ1 govt</v>
          </cell>
          <cell r="C55">
            <v>3.376350494862399</v>
          </cell>
        </row>
        <row r="56">
          <cell r="A56" t="str">
            <v>912828MF4</v>
          </cell>
          <cell r="B56" t="str">
            <v>912828MF4 govt</v>
          </cell>
          <cell r="C56">
            <v>4.0051681086602127</v>
          </cell>
        </row>
        <row r="57">
          <cell r="A57" t="str">
            <v>912828MP2</v>
          </cell>
          <cell r="B57" t="str">
            <v>912828MP2 govt</v>
          </cell>
          <cell r="C57">
            <v>7.4114235908915109</v>
          </cell>
        </row>
        <row r="58">
          <cell r="A58" t="str">
            <v>912828MS6</v>
          </cell>
          <cell r="B58" t="str">
            <v>912828MS6 govt</v>
          </cell>
          <cell r="C58">
            <v>5.2492087656256636</v>
          </cell>
        </row>
        <row r="59">
          <cell r="A59" t="str">
            <v>912828MT4</v>
          </cell>
          <cell r="B59" t="str">
            <v>912828MT4 govt</v>
          </cell>
          <cell r="C59">
            <v>1.766848032215844</v>
          </cell>
        </row>
        <row r="60">
          <cell r="A60" t="str">
            <v>912828MV9</v>
          </cell>
          <cell r="B60" t="str">
            <v>912828MV9 govt</v>
          </cell>
          <cell r="C60">
            <v>5.300030538286399</v>
          </cell>
        </row>
        <row r="61">
          <cell r="A61" t="str">
            <v>912828MW7</v>
          </cell>
          <cell r="B61" t="str">
            <v>912828MW7 govt</v>
          </cell>
          <cell r="C61">
            <v>3.6483010480757558</v>
          </cell>
        </row>
        <row r="62">
          <cell r="A62" t="str">
            <v>912828MY3</v>
          </cell>
          <cell r="B62" t="str">
            <v>912828MY3 govt</v>
          </cell>
          <cell r="C62">
            <v>1.9007562957834561</v>
          </cell>
        </row>
        <row r="63">
          <cell r="A63" t="str">
            <v>912828MZ0</v>
          </cell>
          <cell r="B63" t="str">
            <v>912828MZ0 govt</v>
          </cell>
          <cell r="C63">
            <v>3.7293865084215527</v>
          </cell>
        </row>
        <row r="64">
          <cell r="A64" t="str">
            <v>912828NT3</v>
          </cell>
          <cell r="B64" t="str">
            <v>912828NT3 govt</v>
          </cell>
          <cell r="C64">
            <v>8.041902715907808</v>
          </cell>
        </row>
        <row r="65">
          <cell r="A65" t="str">
            <v>912828NU0</v>
          </cell>
          <cell r="B65" t="str">
            <v>912828NU0 govt</v>
          </cell>
          <cell r="C65">
            <v>2.1854137815777661</v>
          </cell>
        </row>
        <row r="66">
          <cell r="A66" t="str">
            <v>912828NW6</v>
          </cell>
          <cell r="B66" t="str">
            <v>912828NW6 govt</v>
          </cell>
          <cell r="C66">
            <v>5.8319878041804918</v>
          </cell>
        </row>
        <row r="67">
          <cell r="A67" t="str">
            <v>912828PA2</v>
          </cell>
          <cell r="B67" t="str">
            <v>912828PA2 govt</v>
          </cell>
          <cell r="C67">
            <v>5.9130382430366</v>
          </cell>
        </row>
        <row r="68">
          <cell r="A68" t="str">
            <v>912828PB0</v>
          </cell>
          <cell r="B68" t="str">
            <v>912828PB0 govt</v>
          </cell>
          <cell r="C68">
            <v>2.3548018812146396</v>
          </cell>
        </row>
        <row r="69">
          <cell r="A69" t="str">
            <v>912828PE4</v>
          </cell>
          <cell r="B69" t="str">
            <v>912828PE4 govt</v>
          </cell>
          <cell r="C69">
            <v>4.2735839576931998</v>
          </cell>
        </row>
        <row r="70">
          <cell r="A70" t="str">
            <v>912828PF1</v>
          </cell>
          <cell r="B70" t="str">
            <v>912828PF1 govt</v>
          </cell>
          <cell r="C70">
            <v>5.9935932639240761</v>
          </cell>
        </row>
        <row r="71">
          <cell r="A71" t="str">
            <v>912828PJ3</v>
          </cell>
          <cell r="B71" t="str">
            <v>912828PJ3 govt</v>
          </cell>
          <cell r="C71">
            <v>4.3460449495280313</v>
          </cell>
        </row>
        <row r="72">
          <cell r="A72" t="str">
            <v>912828PK0</v>
          </cell>
          <cell r="B72" t="str">
            <v>912828PK0 govt</v>
          </cell>
          <cell r="C72">
            <v>6.0155532669378591</v>
          </cell>
        </row>
        <row r="73">
          <cell r="A73" t="str">
            <v>912828PL8</v>
          </cell>
          <cell r="B73" t="str">
            <v>912828PL8 govt</v>
          </cell>
          <cell r="C73">
            <v>2.5051476009036069</v>
          </cell>
        </row>
        <row r="74">
          <cell r="A74" t="str">
            <v>912828PP9</v>
          </cell>
          <cell r="B74" t="str">
            <v>912828PP9 govt</v>
          </cell>
          <cell r="C74">
            <v>4.4825941547810224</v>
          </cell>
        </row>
        <row r="75">
          <cell r="A75" t="str">
            <v>912828QD5</v>
          </cell>
          <cell r="B75" t="str">
            <v>912828QD5 govt</v>
          </cell>
          <cell r="C75">
            <v>2.4017281572603477</v>
          </cell>
        </row>
        <row r="76">
          <cell r="A76" t="str">
            <v>B01DP02</v>
          </cell>
          <cell r="B76" t="str">
            <v>B01DP02 govt</v>
          </cell>
          <cell r="C76">
            <v>2.8112888391560875</v>
          </cell>
        </row>
        <row r="77">
          <cell r="A77" t="str">
            <v>B04FJB4</v>
          </cell>
          <cell r="B77" t="str">
            <v>B04FJB4 govt</v>
          </cell>
          <cell r="C77">
            <v>3.32441988225183</v>
          </cell>
        </row>
        <row r="78">
          <cell r="A78" t="str">
            <v>B064RN7</v>
          </cell>
          <cell r="B78" t="str">
            <v>B064RN7 govt</v>
          </cell>
          <cell r="C78">
            <v>3.4953721892748475</v>
          </cell>
        </row>
        <row r="79">
          <cell r="A79" t="str">
            <v>B073FY0</v>
          </cell>
          <cell r="B79" t="str">
            <v>B073FY0 govt</v>
          </cell>
          <cell r="C79">
            <v>3.7428608017970486</v>
          </cell>
        </row>
        <row r="80">
          <cell r="A80" t="str">
            <v>B0964L7</v>
          </cell>
          <cell r="B80" t="str">
            <v>B0964L7 govt</v>
          </cell>
          <cell r="C80">
            <v>3.7169156163316348</v>
          </cell>
        </row>
        <row r="81">
          <cell r="A81" t="str">
            <v>B0CW832</v>
          </cell>
          <cell r="B81" t="str">
            <v>B0CW832 govt</v>
          </cell>
          <cell r="C81">
            <v>3.9751885885830305</v>
          </cell>
        </row>
        <row r="82">
          <cell r="A82" t="str">
            <v>B0LVG47</v>
          </cell>
          <cell r="B82" t="str">
            <v>B0LVG47 govt</v>
          </cell>
          <cell r="C82">
            <v>4.2226065823321832</v>
          </cell>
        </row>
        <row r="83">
          <cell r="A83" t="str">
            <v>B0S5YP9</v>
          </cell>
          <cell r="B83" t="str">
            <v>B0S5YP9 govt</v>
          </cell>
          <cell r="C83">
            <v>4.1866212713993818</v>
          </cell>
        </row>
        <row r="84">
          <cell r="A84" t="str">
            <v>B0SYL99</v>
          </cell>
          <cell r="B84" t="str">
            <v>B0SYL99 govt</v>
          </cell>
          <cell r="C84">
            <v>4.4437749999350507</v>
          </cell>
        </row>
        <row r="85">
          <cell r="A85" t="str">
            <v>B0WGSL2</v>
          </cell>
          <cell r="B85" t="str">
            <v>B0WGSL2 govt</v>
          </cell>
          <cell r="C85">
            <v>4.4455620738652417</v>
          </cell>
        </row>
        <row r="86">
          <cell r="A86" t="str">
            <v>B15CBK4</v>
          </cell>
          <cell r="B86" t="str">
            <v>B15CBK4 govt</v>
          </cell>
          <cell r="C86">
            <v>4.4672435965979584</v>
          </cell>
        </row>
        <row r="87">
          <cell r="A87" t="str">
            <v>B16FWW1</v>
          </cell>
          <cell r="B87" t="str">
            <v>B16FWW1 govt</v>
          </cell>
          <cell r="C87">
            <v>4.902958040435319</v>
          </cell>
        </row>
        <row r="88">
          <cell r="A88" t="str">
            <v>B1DRWW0</v>
          </cell>
          <cell r="B88" t="str">
            <v>B1DRWW0 govt</v>
          </cell>
          <cell r="C88">
            <v>5.1611257895989073</v>
          </cell>
        </row>
        <row r="89">
          <cell r="A89" t="str">
            <v>B1HNZP8</v>
          </cell>
          <cell r="B89" t="str">
            <v>B1HNZP8 govt</v>
          </cell>
          <cell r="C89">
            <v>4.9787894489791418</v>
          </cell>
        </row>
        <row r="90">
          <cell r="A90" t="str">
            <v>B1L0JD1</v>
          </cell>
          <cell r="B90" t="str">
            <v>B1L0JD1 govt</v>
          </cell>
          <cell r="C90">
            <v>5.3681645389704178</v>
          </cell>
        </row>
        <row r="91">
          <cell r="A91" t="str">
            <v>B1TNQT7</v>
          </cell>
          <cell r="B91" t="str">
            <v>B1TNQT7 govt</v>
          </cell>
          <cell r="C91">
            <v>5.6142025768596593</v>
          </cell>
        </row>
        <row r="92">
          <cell r="A92" t="str">
            <v>B1XQNY6</v>
          </cell>
          <cell r="B92" t="str">
            <v>B1XQNY6 govt</v>
          </cell>
          <cell r="C92">
            <v>5.2076736149341292</v>
          </cell>
        </row>
        <row r="93">
          <cell r="A93" t="str">
            <v>B1YLFQ6</v>
          </cell>
          <cell r="B93" t="str">
            <v>B1YLFQ6 govt</v>
          </cell>
          <cell r="C93">
            <v>5.8124213864639458</v>
          </cell>
        </row>
        <row r="94">
          <cell r="A94" t="str">
            <v>B24FNY9</v>
          </cell>
          <cell r="B94" t="str">
            <v>B24FNY9 govt</v>
          </cell>
          <cell r="C94">
            <v>1.2957242811028071</v>
          </cell>
        </row>
        <row r="95">
          <cell r="A95" t="str">
            <v>B2829N7</v>
          </cell>
          <cell r="B95" t="str">
            <v>B2829N7 govt</v>
          </cell>
          <cell r="C95">
            <v>1.3058512385796577</v>
          </cell>
        </row>
        <row r="96">
          <cell r="A96" t="str">
            <v>B299T26</v>
          </cell>
          <cell r="B96" t="str">
            <v>B299T26 govt</v>
          </cell>
          <cell r="C96">
            <v>5.7252341209048092</v>
          </cell>
        </row>
        <row r="97">
          <cell r="A97" t="str">
            <v>B29V1Q0</v>
          </cell>
          <cell r="B97" t="str">
            <v>B29V1Q0 govt</v>
          </cell>
          <cell r="C97">
            <v>6.2550386143428378</v>
          </cell>
        </row>
        <row r="98">
          <cell r="A98" t="str">
            <v>B2NSPX2</v>
          </cell>
          <cell r="B98" t="str">
            <v>B2NSPX2 govt</v>
          </cell>
          <cell r="C98">
            <v>1.5404477199674238</v>
          </cell>
        </row>
        <row r="99">
          <cell r="A99" t="str">
            <v>B2Q9B01</v>
          </cell>
          <cell r="B99" t="str">
            <v>B2Q9B01 govt</v>
          </cell>
          <cell r="C99">
            <v>1.7887426455548729</v>
          </cell>
        </row>
        <row r="100">
          <cell r="A100" t="str">
            <v>B2QM5X1</v>
          </cell>
          <cell r="B100" t="str">
            <v>B2QM5X1 govt</v>
          </cell>
          <cell r="C100">
            <v>1.8024801028653936</v>
          </cell>
        </row>
        <row r="101">
          <cell r="A101" t="str">
            <v>B2RHK74</v>
          </cell>
          <cell r="B101" t="str">
            <v>B2RHK74 govt</v>
          </cell>
          <cell r="C101">
            <v>6.4887113305792168</v>
          </cell>
        </row>
        <row r="102">
          <cell r="A102" t="str">
            <v>B39QCF8</v>
          </cell>
          <cell r="B102" t="str">
            <v>B39QCF8 govt</v>
          </cell>
          <cell r="C102">
            <v>5.9427843379862244</v>
          </cell>
        </row>
        <row r="103">
          <cell r="A103" t="str">
            <v>B39RJ16</v>
          </cell>
          <cell r="B103" t="str">
            <v>B39RJ16 govt</v>
          </cell>
          <cell r="C103">
            <v>6.6766432114010152</v>
          </cell>
        </row>
        <row r="104">
          <cell r="A104" t="str">
            <v>B39X7G5</v>
          </cell>
          <cell r="B104" t="str">
            <v>B39X7G5 govt</v>
          </cell>
          <cell r="C104">
            <v>2.0282491891589891</v>
          </cell>
        </row>
        <row r="105">
          <cell r="A105" t="str">
            <v>B3DD9P4</v>
          </cell>
          <cell r="B105" t="str">
            <v>B3DD9P4 govt</v>
          </cell>
          <cell r="C105">
            <v>2.2147779400928087</v>
          </cell>
        </row>
        <row r="106">
          <cell r="A106" t="str">
            <v>B3FJH89</v>
          </cell>
          <cell r="B106" t="str">
            <v>B3FJH89 govt</v>
          </cell>
          <cell r="C106">
            <v>2.2870466358340842</v>
          </cell>
        </row>
        <row r="107">
          <cell r="A107" t="str">
            <v>B3FKPQ6</v>
          </cell>
          <cell r="B107" t="str">
            <v>B3FKPQ6 govt</v>
          </cell>
          <cell r="C107">
            <v>6.5124726138545492</v>
          </cell>
        </row>
        <row r="108">
          <cell r="A108" t="str">
            <v>B3KB2X0</v>
          </cell>
          <cell r="B108" t="str">
            <v>B3KB2X0 govt</v>
          </cell>
          <cell r="C108">
            <v>7.0905470419371586</v>
          </cell>
        </row>
        <row r="109">
          <cell r="A109" t="str">
            <v>B3KXWB4</v>
          </cell>
          <cell r="B109" t="str">
            <v>B3KXWB4 govt</v>
          </cell>
          <cell r="C109">
            <v>7.0932623365130256</v>
          </cell>
        </row>
        <row r="110">
          <cell r="A110" t="str">
            <v>B3L6621</v>
          </cell>
          <cell r="B110" t="str">
            <v>B3L6621 govt</v>
          </cell>
          <cell r="C110">
            <v>2.5295593513856662</v>
          </cell>
        </row>
        <row r="111">
          <cell r="A111" t="str">
            <v>B3LCYD6</v>
          </cell>
          <cell r="B111" t="str">
            <v>B3LCYD6 govt</v>
          </cell>
          <cell r="C111">
            <v>1.2847339145633303</v>
          </cell>
        </row>
        <row r="112">
          <cell r="A112" t="str">
            <v>B3LMGX0</v>
          </cell>
          <cell r="B112" t="str">
            <v>B3LMGX0 govt</v>
          </cell>
          <cell r="C112">
            <v>3.5285575952139303</v>
          </cell>
        </row>
        <row r="113">
          <cell r="A113" t="str">
            <v>B3MHJG8</v>
          </cell>
          <cell r="B113" t="str">
            <v>B3MHJG8 govt</v>
          </cell>
          <cell r="C113">
            <v>1.5037953580630088</v>
          </cell>
        </row>
        <row r="114">
          <cell r="A114" t="str">
            <v>B3Q7MD2</v>
          </cell>
          <cell r="B114" t="str">
            <v>B3Q7MD2 govt</v>
          </cell>
          <cell r="C114">
            <v>3.0182333351753634</v>
          </cell>
        </row>
        <row r="115">
          <cell r="A115" t="str">
            <v>B3QF5D7</v>
          </cell>
          <cell r="B115" t="str">
            <v>B3QF5D7 govt</v>
          </cell>
          <cell r="C115">
            <v>0.18626112883144114</v>
          </cell>
        </row>
        <row r="116">
          <cell r="A116" t="str">
            <v>B3T6Q56</v>
          </cell>
          <cell r="B116" t="str">
            <v>B3T6Q56 govt</v>
          </cell>
          <cell r="C116">
            <v>0.30399585233638771</v>
          </cell>
        </row>
        <row r="117">
          <cell r="A117" t="str">
            <v>B3TKJ71</v>
          </cell>
          <cell r="B117" t="str">
            <v>B3TKJ71 govt</v>
          </cell>
          <cell r="C117">
            <v>7.6205082353160183</v>
          </cell>
        </row>
        <row r="118">
          <cell r="A118" t="str">
            <v>B3TNFP0</v>
          </cell>
          <cell r="B118" t="str">
            <v>B3TNFP0 govt</v>
          </cell>
          <cell r="C118">
            <v>0.10135709042226868</v>
          </cell>
        </row>
        <row r="119">
          <cell r="A119" t="str">
            <v>B3TR853</v>
          </cell>
          <cell r="B119" t="str">
            <v>B3TR853 govt</v>
          </cell>
          <cell r="C119">
            <v>0.1968889167432791</v>
          </cell>
        </row>
        <row r="120">
          <cell r="A120" t="str">
            <v>B3V0344</v>
          </cell>
          <cell r="B120" t="str">
            <v>B3V0344 govt</v>
          </cell>
          <cell r="C120">
            <v>3.7471803385383127</v>
          </cell>
        </row>
        <row r="121">
          <cell r="A121" t="str">
            <v>B3VRJW5</v>
          </cell>
          <cell r="B121" t="str">
            <v>B3VRJW5 govt</v>
          </cell>
          <cell r="C121">
            <v>1.0189618505046303</v>
          </cell>
        </row>
        <row r="122">
          <cell r="A122" t="str">
            <v>B3VYKS9</v>
          </cell>
          <cell r="B122" t="str">
            <v>B3VYKS9 govt</v>
          </cell>
          <cell r="C122">
            <v>0.44359505840792934</v>
          </cell>
        </row>
        <row r="123">
          <cell r="A123" t="str">
            <v>B3X75J2</v>
          </cell>
          <cell r="B123" t="str">
            <v>B3X75J2 govt</v>
          </cell>
          <cell r="C123">
            <v>0.75102300423537005</v>
          </cell>
        </row>
        <row r="124">
          <cell r="A124" t="str">
            <v>B3XR5D6</v>
          </cell>
          <cell r="B124" t="str">
            <v>B3XR5D6 govt</v>
          </cell>
          <cell r="C124">
            <v>1.1150297499461135</v>
          </cell>
        </row>
        <row r="125">
          <cell r="A125" t="str">
            <v>B3Y9393</v>
          </cell>
          <cell r="B125" t="str">
            <v>B3Y9393 govt</v>
          </cell>
          <cell r="C125">
            <v>0.88658828094164688</v>
          </cell>
        </row>
        <row r="126">
          <cell r="A126" t="str">
            <v>B3YYWR9</v>
          </cell>
          <cell r="B126" t="str">
            <v>B3YYWR9 govt</v>
          </cell>
          <cell r="C126">
            <v>0.47370196544553478</v>
          </cell>
        </row>
        <row r="127">
          <cell r="A127" t="str">
            <v>B3Z4063</v>
          </cell>
          <cell r="B127" t="str">
            <v>B3Z4063 govt</v>
          </cell>
          <cell r="C127">
            <v>4.4584019631544871</v>
          </cell>
        </row>
        <row r="128">
          <cell r="A128" t="str">
            <v>B3Z5L85</v>
          </cell>
          <cell r="B128" t="str">
            <v>B3Z5L85 govt</v>
          </cell>
          <cell r="C128">
            <v>2.7751679904899254</v>
          </cell>
        </row>
        <row r="129">
          <cell r="A129" t="str">
            <v>B40Z1F4</v>
          </cell>
          <cell r="B129" t="str">
            <v>B40Z1F4 govt</v>
          </cell>
          <cell r="C129">
            <v>8.2746066653871502</v>
          </cell>
        </row>
        <row r="130">
          <cell r="A130" t="str">
            <v>B411623</v>
          </cell>
          <cell r="B130" t="str">
            <v>B411623 govt</v>
          </cell>
          <cell r="C130">
            <v>0.22459732614050681</v>
          </cell>
        </row>
        <row r="131">
          <cell r="A131" t="str">
            <v>B413NP1</v>
          </cell>
          <cell r="B131" t="str">
            <v>B413NP1 govt</v>
          </cell>
          <cell r="C131">
            <v>4.094511862417936</v>
          </cell>
        </row>
        <row r="132">
          <cell r="A132" t="str">
            <v>B41RJT9</v>
          </cell>
          <cell r="B132" t="str">
            <v>B41RJT9 govt</v>
          </cell>
          <cell r="C132">
            <v>3.2676282646196957</v>
          </cell>
        </row>
        <row r="133">
          <cell r="A133" t="str">
            <v>B43NH68</v>
          </cell>
          <cell r="B133" t="str">
            <v>B43NH68 govt</v>
          </cell>
          <cell r="C133">
            <v>0.48620000114994683</v>
          </cell>
        </row>
        <row r="134">
          <cell r="A134" t="str">
            <v>B44CL73</v>
          </cell>
          <cell r="B134" t="str">
            <v>B44CL73 govt</v>
          </cell>
          <cell r="C134">
            <v>8.0503194449508528E-2</v>
          </cell>
        </row>
        <row r="135">
          <cell r="A135" t="str">
            <v>B44D3M5</v>
          </cell>
          <cell r="B135" t="str">
            <v>B44D3M5 govt</v>
          </cell>
          <cell r="C135">
            <v>0.13422469317510927</v>
          </cell>
        </row>
        <row r="136">
          <cell r="A136" t="str">
            <v>B450B09</v>
          </cell>
          <cell r="B136" t="str">
            <v>B450B09 govt</v>
          </cell>
          <cell r="C136">
            <v>0.7226027215816947</v>
          </cell>
        </row>
        <row r="137">
          <cell r="A137" t="str">
            <v>B459YQ3</v>
          </cell>
          <cell r="B137" t="str">
            <v>B459YQ3 govt</v>
          </cell>
          <cell r="C137">
            <v>0.33223333370016306</v>
          </cell>
        </row>
        <row r="138">
          <cell r="A138" t="str">
            <v>B45JHF3</v>
          </cell>
          <cell r="B138" t="str">
            <v>B45JHF3 govt</v>
          </cell>
          <cell r="C138">
            <v>2.4360869787227752</v>
          </cell>
        </row>
        <row r="139">
          <cell r="A139" t="str">
            <v>B466SY9</v>
          </cell>
          <cell r="B139" t="str">
            <v>B466SY9 govt</v>
          </cell>
          <cell r="C139">
            <v>0.65855122507928388</v>
          </cell>
        </row>
        <row r="140">
          <cell r="A140" t="str">
            <v>B46CJ99</v>
          </cell>
          <cell r="B140" t="str">
            <v>B46CJ99 govt</v>
          </cell>
          <cell r="C140">
            <v>1.366673774448143</v>
          </cell>
        </row>
        <row r="141">
          <cell r="A141" t="str">
            <v>B4LMMQ2</v>
          </cell>
          <cell r="B141" t="str">
            <v>B4LMMQ2 govt</v>
          </cell>
          <cell r="C141">
            <v>0.63784548204766445</v>
          </cell>
        </row>
        <row r="142">
          <cell r="A142" t="str">
            <v>B4MWSK7</v>
          </cell>
          <cell r="B142" t="str">
            <v>B4MWSK7 govt</v>
          </cell>
          <cell r="C142">
            <v>1.7445948396769708</v>
          </cell>
        </row>
        <row r="143">
          <cell r="A143" t="str">
            <v>B4PM4L7</v>
          </cell>
          <cell r="B143" t="str">
            <v>B4PM4L7 govt</v>
          </cell>
          <cell r="C143">
            <v>0.20542869871758374</v>
          </cell>
        </row>
        <row r="144">
          <cell r="A144" t="str">
            <v>B4QDBP2</v>
          </cell>
          <cell r="B144" t="str">
            <v>B4QDBP2 govt</v>
          </cell>
          <cell r="C144">
            <v>3.1562341465484871</v>
          </cell>
        </row>
        <row r="145">
          <cell r="A145" t="str">
            <v>B4T70J8</v>
          </cell>
          <cell r="B145" t="str">
            <v>B4T70J8 govt</v>
          </cell>
          <cell r="C145">
            <v>0.38612985263074068</v>
          </cell>
        </row>
        <row r="146">
          <cell r="A146" t="str">
            <v>B4VP5N9</v>
          </cell>
          <cell r="B146" t="str">
            <v>B4VP5N9 govt</v>
          </cell>
          <cell r="C146">
            <v>2.2218000000493322E-2</v>
          </cell>
        </row>
        <row r="147">
          <cell r="A147" t="str">
            <v>B4VSFT4</v>
          </cell>
          <cell r="B147" t="str">
            <v>B4VSFT4 govt</v>
          </cell>
          <cell r="C147">
            <v>7.701528257064207</v>
          </cell>
        </row>
        <row r="148">
          <cell r="A148" t="str">
            <v>B4WDSV1</v>
          </cell>
          <cell r="B148" t="str">
            <v>B4WDSV1 govt</v>
          </cell>
          <cell r="C148">
            <v>7.773876694356737</v>
          </cell>
        </row>
        <row r="149">
          <cell r="A149" t="str">
            <v>B4XF7K8</v>
          </cell>
          <cell r="B149" t="str">
            <v>B4XF7K8 govt</v>
          </cell>
          <cell r="C149">
            <v>6.8092759034459114</v>
          </cell>
        </row>
        <row r="150">
          <cell r="A150" t="str">
            <v>B4YTWM6</v>
          </cell>
          <cell r="B150" t="str">
            <v>B4YTWM6 govt</v>
          </cell>
          <cell r="C150">
            <v>0.14791887126588088</v>
          </cell>
        </row>
        <row r="151">
          <cell r="A151" t="str">
            <v>B50VFS0</v>
          </cell>
          <cell r="B151" t="str">
            <v>B50VFS0 govt</v>
          </cell>
          <cell r="C151">
            <v>8.8056635638864158</v>
          </cell>
        </row>
        <row r="152">
          <cell r="A152" t="str">
            <v>B51BMV1</v>
          </cell>
          <cell r="B152" t="str">
            <v>B51BMV1 govt</v>
          </cell>
          <cell r="C152">
            <v>7.4914357577488655</v>
          </cell>
        </row>
        <row r="153">
          <cell r="A153" t="str">
            <v>B51C571</v>
          </cell>
          <cell r="B153" t="str">
            <v>B51C571 govt</v>
          </cell>
          <cell r="C153">
            <v>0.83000506127441187</v>
          </cell>
        </row>
        <row r="154">
          <cell r="A154" t="str">
            <v>B52HCK7</v>
          </cell>
          <cell r="B154" t="str">
            <v>B52HCK7 govt</v>
          </cell>
          <cell r="C154">
            <v>1.1997263863070502</v>
          </cell>
        </row>
        <row r="155">
          <cell r="A155" t="str">
            <v>B53NMB5</v>
          </cell>
          <cell r="B155" t="str">
            <v>B53NMB5 govt</v>
          </cell>
          <cell r="C155">
            <v>0.54380208494167281</v>
          </cell>
        </row>
        <row r="156">
          <cell r="A156" t="str">
            <v>B540R54</v>
          </cell>
          <cell r="B156" t="str">
            <v>B540R54 govt</v>
          </cell>
          <cell r="C156">
            <v>3.5060468369778643</v>
          </cell>
        </row>
        <row r="157">
          <cell r="A157" t="str">
            <v>B54HRQ6</v>
          </cell>
          <cell r="B157" t="str">
            <v>B54HRQ6 govt</v>
          </cell>
          <cell r="C157">
            <v>0.11932619446081374</v>
          </cell>
        </row>
        <row r="158">
          <cell r="A158" t="str">
            <v>B55C9X1</v>
          </cell>
          <cell r="B158" t="str">
            <v>B55C9X1 govt</v>
          </cell>
          <cell r="C158">
            <v>3.2682428443380762</v>
          </cell>
        </row>
        <row r="159">
          <cell r="A159" t="str">
            <v>B55P941</v>
          </cell>
          <cell r="B159" t="str">
            <v>B55P941 govt</v>
          </cell>
          <cell r="C159">
            <v>0.55303560169130483</v>
          </cell>
        </row>
        <row r="160">
          <cell r="A160" t="str">
            <v>B57JFR6</v>
          </cell>
          <cell r="B160" t="str">
            <v>B57JFR6 govt</v>
          </cell>
          <cell r="C160">
            <v>7.1226394524417216E-2</v>
          </cell>
        </row>
        <row r="161">
          <cell r="A161" t="str">
            <v>B587VW6</v>
          </cell>
          <cell r="B161" t="str">
            <v>B587VW6 govt</v>
          </cell>
          <cell r="C161">
            <v>1.2614751119407894</v>
          </cell>
        </row>
        <row r="162">
          <cell r="A162" t="str">
            <v>B59DW42</v>
          </cell>
          <cell r="B162" t="str">
            <v>B59DW42 govt</v>
          </cell>
          <cell r="C162">
            <v>2.4656523286975002E-2</v>
          </cell>
        </row>
        <row r="163">
          <cell r="A163" t="str">
            <v>B59GP75</v>
          </cell>
          <cell r="B163" t="str">
            <v>B59GP75 govt</v>
          </cell>
          <cell r="C163">
            <v>0.22459732614050681</v>
          </cell>
        </row>
        <row r="164">
          <cell r="A164" t="str">
            <v>B59NMD1</v>
          </cell>
          <cell r="B164" t="str">
            <v>B59NMD1 govt</v>
          </cell>
          <cell r="C164">
            <v>8.0498526087139943</v>
          </cell>
        </row>
        <row r="165">
          <cell r="A165" t="str">
            <v>B5BQB19</v>
          </cell>
          <cell r="B165" t="str">
            <v>B5BQB19 govt</v>
          </cell>
          <cell r="C165">
            <v>1.4512295158669557</v>
          </cell>
        </row>
        <row r="166">
          <cell r="A166" t="str">
            <v>B5LBF89</v>
          </cell>
          <cell r="B166" t="str">
            <v>B5LBF89 govt</v>
          </cell>
          <cell r="C166">
            <v>0.40932688957554858</v>
          </cell>
        </row>
        <row r="167">
          <cell r="A167" t="str">
            <v>B5LDZV8</v>
          </cell>
          <cell r="B167" t="str">
            <v>B5LDZV8 govt</v>
          </cell>
          <cell r="C167">
            <v>4.2331623667298688</v>
          </cell>
        </row>
        <row r="168">
          <cell r="A168" t="str">
            <v>B5Q6WP5</v>
          </cell>
          <cell r="B168" t="str">
            <v>B5Q6WP5 govt</v>
          </cell>
          <cell r="C168">
            <v>5.2051254797013363E-2</v>
          </cell>
        </row>
        <row r="169">
          <cell r="A169" t="str">
            <v>B5W2JP6</v>
          </cell>
          <cell r="B169" t="str">
            <v>B5W2JP6 govt</v>
          </cell>
          <cell r="C169">
            <v>3.6537390482078025</v>
          </cell>
        </row>
        <row r="170">
          <cell r="A170" t="str">
            <v>B5WHTM8</v>
          </cell>
          <cell r="B170" t="str">
            <v>B5WHTM8 govt</v>
          </cell>
          <cell r="C170">
            <v>0.10957435617723842</v>
          </cell>
        </row>
        <row r="171">
          <cell r="A171" t="str">
            <v>B61HZ28</v>
          </cell>
          <cell r="B171" t="str">
            <v>B61HZ28 govt</v>
          </cell>
          <cell r="C171">
            <v>0.78169303476223573</v>
          </cell>
        </row>
        <row r="172">
          <cell r="A172" t="str">
            <v>B63Z8W1</v>
          </cell>
          <cell r="B172" t="str">
            <v>B63Z8W1 govt</v>
          </cell>
          <cell r="C172">
            <v>1.7772351221664093</v>
          </cell>
        </row>
        <row r="173">
          <cell r="A173" t="str">
            <v>B642N71</v>
          </cell>
          <cell r="B173" t="str">
            <v>B642N71 govt</v>
          </cell>
          <cell r="C173">
            <v>1.8622571963014198</v>
          </cell>
        </row>
        <row r="174">
          <cell r="A174" t="str">
            <v>B648RL1</v>
          </cell>
          <cell r="B174" t="str">
            <v>B648RL1 govt</v>
          </cell>
          <cell r="C174">
            <v>3.9863511029944898</v>
          </cell>
        </row>
        <row r="175">
          <cell r="A175" t="str">
            <v>B64XJX2</v>
          </cell>
          <cell r="B175" t="str">
            <v>B64XJX2 govt</v>
          </cell>
          <cell r="C175">
            <v>4.6990178638</v>
          </cell>
        </row>
        <row r="176">
          <cell r="A176" t="str">
            <v>B658VW9</v>
          </cell>
          <cell r="B176" t="str">
            <v>B658VW9 govt</v>
          </cell>
          <cell r="C176">
            <v>0.23560583346438613</v>
          </cell>
        </row>
        <row r="177">
          <cell r="A177" t="str">
            <v>B662XJ1</v>
          </cell>
          <cell r="B177" t="str">
            <v>B662XJ1 govt</v>
          </cell>
          <cell r="C177">
            <v>0.3614839895125071</v>
          </cell>
        </row>
        <row r="178">
          <cell r="A178" t="str">
            <v>B66JL98</v>
          </cell>
          <cell r="B178" t="str">
            <v>B66JL98 govt</v>
          </cell>
          <cell r="C178">
            <v>1.7009133102111171</v>
          </cell>
        </row>
        <row r="179">
          <cell r="A179" t="str">
            <v>B66YXD1</v>
          </cell>
          <cell r="B179" t="str">
            <v>B66YXD1 govt</v>
          </cell>
          <cell r="C179">
            <v>8.2191780826690319E-3</v>
          </cell>
        </row>
        <row r="180">
          <cell r="A180" t="str">
            <v>B67G5L8</v>
          </cell>
          <cell r="B180" t="str">
            <v>B67G5L8 govt</v>
          </cell>
          <cell r="C180">
            <v>0.19173690418059511</v>
          </cell>
        </row>
        <row r="181">
          <cell r="A181" t="str">
            <v>B67ZL17</v>
          </cell>
          <cell r="B181" t="str">
            <v>B67ZL17 govt</v>
          </cell>
          <cell r="C181">
            <v>0.15812908337294465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Control"/>
      <sheetName val="APOLLO_LINKS"/>
      <sheetName val="Sheet1"/>
      <sheetName val="Sheet2"/>
      <sheetName val="Sheet3"/>
    </sheetNames>
    <sheetDataSet>
      <sheetData sheetId="0">
        <row r="2">
          <cell r="E2">
            <v>3018790900</v>
          </cell>
        </row>
      </sheetData>
      <sheetData sheetId="1" refreshError="1"/>
      <sheetData sheetId="2" refreshError="1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ntas"/>
      <sheetName val="Vence"/>
      <sheetName val="INFORME"/>
      <sheetName val="CUADROS"/>
      <sheetName val="MATRIZ"/>
      <sheetName val="MATRIZContable"/>
      <sheetName val="Riesgo"/>
      <sheetName val="RiesgoBanc"/>
      <sheetName val="Fwd "/>
      <sheetName val="CajaInd"/>
      <sheetName val="Dur Bonos"/>
      <sheetName val="Tablas"/>
      <sheetName val="Vencimientos USD"/>
      <sheetName val="Vencimientos ML"/>
      <sheetName val="Bancario"/>
      <sheetName val="TasaFRN"/>
      <sheetName val="TasasLibid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Control"/>
      <sheetName val="APOLLO_LINKS"/>
      <sheetName val="Sheet1"/>
      <sheetName val="Sheet2"/>
      <sheetName val="Sheet3"/>
    </sheetNames>
    <sheetDataSet>
      <sheetData sheetId="0">
        <row r="2">
          <cell r="E2">
            <v>3018790900</v>
          </cell>
        </row>
        <row r="4">
          <cell r="E4">
            <v>40717</v>
          </cell>
        </row>
      </sheetData>
      <sheetData sheetId="1" refreshError="1"/>
      <sheetData sheetId="2" refreshError="1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Control"/>
      <sheetName val="APOLLO_LINKS"/>
      <sheetName val="Sheet1"/>
      <sheetName val="Sheet2"/>
      <sheetName val="Sheet3"/>
    </sheetNames>
    <sheetDataSet>
      <sheetData sheetId="0">
        <row r="2">
          <cell r="E2">
            <v>3018789400</v>
          </cell>
        </row>
        <row r="4">
          <cell r="E4">
            <v>39244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4AC04-F524-4CB8-8E02-CBCD02AF1629}">
  <sheetPr>
    <tabColor rgb="FFD9E2F3"/>
  </sheetPr>
  <dimension ref="B1:T70"/>
  <sheetViews>
    <sheetView tabSelected="1" workbookViewId="0">
      <selection activeCell="R12" sqref="R12"/>
    </sheetView>
  </sheetViews>
  <sheetFormatPr baseColWidth="10" defaultColWidth="11.42578125" defaultRowHeight="15"/>
  <cols>
    <col min="1" max="3" width="1.42578125" style="164" customWidth="1"/>
    <col min="4" max="4" width="11.42578125" style="164"/>
    <col min="5" max="5" width="21.28515625" style="164" customWidth="1"/>
    <col min="6" max="6" width="13.42578125" style="164" customWidth="1"/>
    <col min="7" max="7" width="14.5703125" style="164" bestFit="1" customWidth="1"/>
    <col min="8" max="8" width="1.140625" style="164" customWidth="1"/>
    <col min="9" max="9" width="2.140625" style="164" customWidth="1"/>
    <col min="10" max="10" width="1.42578125" style="164" customWidth="1"/>
    <col min="11" max="11" width="1.5703125" style="164" customWidth="1"/>
    <col min="12" max="12" width="12.5703125" style="164" bestFit="1" customWidth="1"/>
    <col min="13" max="13" width="21.5703125" style="164" customWidth="1"/>
    <col min="14" max="14" width="13.42578125" style="164" customWidth="1"/>
    <col min="15" max="15" width="15.140625" style="164" customWidth="1"/>
    <col min="16" max="16" width="11.42578125" style="164"/>
    <col min="17" max="17" width="15.28515625" style="164" customWidth="1"/>
    <col min="18" max="18" width="14.140625" style="164" bestFit="1" customWidth="1"/>
    <col min="19" max="19" width="13.140625" style="164" bestFit="1" customWidth="1"/>
    <col min="20" max="16384" width="11.42578125" style="164"/>
  </cols>
  <sheetData>
    <row r="1" spans="2:20" ht="12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163"/>
      <c r="Q1" s="163"/>
      <c r="R1" s="163"/>
      <c r="S1" s="163"/>
      <c r="T1" s="163"/>
    </row>
    <row r="2" spans="2:20" ht="12" customHeight="1">
      <c r="B2" s="246" t="s">
        <v>1</v>
      </c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165"/>
      <c r="Q2" s="165"/>
      <c r="R2" s="165"/>
      <c r="S2" s="165"/>
      <c r="T2" s="165"/>
    </row>
    <row r="3" spans="2:20" ht="12" customHeight="1">
      <c r="B3" s="246" t="s">
        <v>2</v>
      </c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165"/>
      <c r="Q3" s="165"/>
      <c r="R3" s="165"/>
      <c r="S3" s="165"/>
      <c r="T3" s="165"/>
    </row>
    <row r="5" spans="2:20" ht="12" customHeight="1">
      <c r="B5" s="166" t="s">
        <v>3</v>
      </c>
      <c r="C5" s="167"/>
      <c r="D5" s="167"/>
      <c r="E5" s="167"/>
      <c r="F5" s="167" t="s">
        <v>4</v>
      </c>
      <c r="G5" s="167" t="s">
        <v>5</v>
      </c>
      <c r="H5" s="168"/>
      <c r="I5" s="168"/>
      <c r="J5" s="166" t="s">
        <v>6</v>
      </c>
      <c r="K5" s="167"/>
      <c r="L5" s="167"/>
      <c r="M5" s="167"/>
      <c r="N5" s="167" t="s">
        <v>4</v>
      </c>
      <c r="O5" s="167" t="s">
        <v>5</v>
      </c>
    </row>
    <row r="6" spans="2:20" ht="12" customHeight="1">
      <c r="B6" s="169"/>
      <c r="C6" s="169"/>
      <c r="D6" s="169"/>
      <c r="G6" s="170"/>
      <c r="I6" s="171"/>
      <c r="J6" s="169"/>
      <c r="K6" s="169"/>
      <c r="L6" s="169"/>
      <c r="M6" s="169"/>
      <c r="N6" s="169"/>
    </row>
    <row r="7" spans="2:20" ht="12" customHeight="1">
      <c r="B7" s="172" t="s">
        <v>7</v>
      </c>
      <c r="C7" s="172"/>
      <c r="D7" s="172"/>
      <c r="F7" s="173">
        <v>49874546844.346397</v>
      </c>
      <c r="G7" s="173">
        <v>54790161113.125931</v>
      </c>
      <c r="H7" s="174"/>
      <c r="I7" s="175"/>
      <c r="J7" s="176" t="s">
        <v>8</v>
      </c>
      <c r="K7" s="176"/>
      <c r="L7" s="176"/>
      <c r="M7" s="176"/>
      <c r="N7" s="176">
        <v>2404142459.0109997</v>
      </c>
      <c r="O7" s="177">
        <v>2299765713.3559999</v>
      </c>
    </row>
    <row r="8" spans="2:20" ht="12" customHeight="1">
      <c r="B8" s="178"/>
      <c r="C8" s="178" t="s">
        <v>9</v>
      </c>
      <c r="D8" s="178"/>
      <c r="F8" s="179">
        <v>25119144447.935143</v>
      </c>
      <c r="G8" s="179">
        <v>25542706653.996048</v>
      </c>
      <c r="H8" s="174"/>
      <c r="I8" s="175"/>
      <c r="J8" s="180"/>
      <c r="K8" s="180" t="s">
        <v>10</v>
      </c>
      <c r="L8" s="180"/>
      <c r="M8" s="180"/>
      <c r="N8" s="180">
        <v>154081479.18900001</v>
      </c>
      <c r="O8" s="181">
        <v>168552276.009</v>
      </c>
    </row>
    <row r="9" spans="2:20" ht="12" customHeight="1">
      <c r="B9" s="178"/>
      <c r="C9" s="178" t="s">
        <v>11</v>
      </c>
      <c r="D9" s="182"/>
      <c r="F9" s="179">
        <v>23305165544.200226</v>
      </c>
      <c r="G9" s="179">
        <v>25506568990.964523</v>
      </c>
      <c r="H9" s="183"/>
      <c r="I9" s="175"/>
      <c r="J9" s="180"/>
      <c r="K9" s="180" t="s">
        <v>12</v>
      </c>
      <c r="L9" s="180"/>
      <c r="M9" s="180"/>
      <c r="N9" s="180">
        <v>2051808740.437</v>
      </c>
      <c r="O9" s="181">
        <v>2030911393.7460001</v>
      </c>
    </row>
    <row r="10" spans="2:20" ht="12" customHeight="1">
      <c r="B10" s="178"/>
      <c r="C10" s="178" t="s">
        <v>13</v>
      </c>
      <c r="D10" s="182"/>
      <c r="F10" s="179">
        <v>3717940938.921</v>
      </c>
      <c r="G10" s="179">
        <v>3535236680.027</v>
      </c>
      <c r="H10" s="174"/>
      <c r="I10" s="175"/>
      <c r="J10" s="180"/>
      <c r="K10" s="180" t="s">
        <v>14</v>
      </c>
      <c r="L10" s="180"/>
      <c r="M10" s="180"/>
      <c r="N10" s="180">
        <v>198252239.38499999</v>
      </c>
      <c r="O10" s="181">
        <v>100302043.601</v>
      </c>
      <c r="P10" s="184"/>
    </row>
    <row r="11" spans="2:20" ht="12" customHeight="1">
      <c r="B11" s="178"/>
      <c r="C11" s="178" t="s">
        <v>15</v>
      </c>
      <c r="D11" s="182"/>
      <c r="F11" s="179">
        <v>746189172.64699996</v>
      </c>
      <c r="G11" s="179">
        <v>775430575.09500003</v>
      </c>
      <c r="H11" s="174"/>
      <c r="I11" s="175"/>
      <c r="J11" s="180"/>
      <c r="K11" s="180"/>
      <c r="L11" s="180"/>
      <c r="M11" s="180"/>
      <c r="N11" s="180"/>
      <c r="O11" s="185"/>
    </row>
    <row r="12" spans="2:20" ht="12" customHeight="1">
      <c r="B12" s="178"/>
      <c r="C12" s="178" t="s">
        <v>16</v>
      </c>
      <c r="D12" s="182"/>
      <c r="F12" s="179">
        <v>479132830.5106976</v>
      </c>
      <c r="G12" s="179">
        <v>533890213.40395361</v>
      </c>
      <c r="H12" s="174"/>
      <c r="I12" s="175"/>
      <c r="J12" s="173" t="s">
        <v>17</v>
      </c>
      <c r="K12" s="186"/>
      <c r="L12" s="186"/>
      <c r="M12" s="186"/>
      <c r="N12" s="176">
        <v>3793122932.0063248</v>
      </c>
      <c r="O12" s="177">
        <v>4657701044.4465857</v>
      </c>
    </row>
    <row r="13" spans="2:20" ht="12" customHeight="1">
      <c r="B13" s="178"/>
      <c r="C13" s="178" t="s">
        <v>18</v>
      </c>
      <c r="D13" s="182"/>
      <c r="F13" s="179">
        <v>1367027145.45</v>
      </c>
      <c r="G13" s="179">
        <v>1155303644.431</v>
      </c>
      <c r="H13" s="174"/>
      <c r="I13" s="175"/>
      <c r="J13" s="180"/>
      <c r="K13" s="180" t="s">
        <v>19</v>
      </c>
      <c r="L13" s="180"/>
      <c r="M13" s="180"/>
      <c r="N13" s="180">
        <v>125430056.43478312</v>
      </c>
      <c r="O13" s="181">
        <v>114935362.9968836</v>
      </c>
    </row>
    <row r="14" spans="2:20" ht="12" customHeight="1">
      <c r="B14" s="178"/>
      <c r="C14" s="178" t="s">
        <v>20</v>
      </c>
      <c r="D14" s="182"/>
      <c r="F14" s="179">
        <v>456776155.37754124</v>
      </c>
      <c r="G14" s="179">
        <v>488161981.35840648</v>
      </c>
      <c r="H14" s="174"/>
      <c r="I14" s="175"/>
      <c r="J14" s="180"/>
      <c r="K14" s="180" t="s">
        <v>21</v>
      </c>
      <c r="L14" s="180"/>
      <c r="M14" s="180"/>
      <c r="N14" s="180">
        <v>707590092.72786546</v>
      </c>
      <c r="O14" s="181">
        <v>1131119271.0180399</v>
      </c>
    </row>
    <row r="15" spans="2:20" ht="12" customHeight="1">
      <c r="B15" s="178"/>
      <c r="C15" s="178" t="s">
        <v>22</v>
      </c>
      <c r="D15" s="182"/>
      <c r="F15" s="179">
        <v>-5316829390.6952038</v>
      </c>
      <c r="G15" s="179">
        <v>-2747137626.1499996</v>
      </c>
      <c r="H15" s="174"/>
      <c r="I15" s="175"/>
      <c r="J15" s="180"/>
      <c r="K15" s="180" t="s">
        <v>23</v>
      </c>
      <c r="L15" s="180"/>
      <c r="M15" s="180"/>
      <c r="N15" s="180">
        <v>1176776038.3066764</v>
      </c>
      <c r="O15" s="181">
        <v>772656494.73466229</v>
      </c>
    </row>
    <row r="16" spans="2:20" ht="9.75" customHeight="1">
      <c r="B16" s="187"/>
      <c r="C16" s="187"/>
      <c r="D16" s="187"/>
      <c r="F16" s="185"/>
      <c r="G16" s="185"/>
      <c r="H16" s="174"/>
      <c r="I16" s="175"/>
      <c r="J16" s="180"/>
      <c r="K16" s="180" t="s">
        <v>24</v>
      </c>
      <c r="L16" s="180"/>
      <c r="M16" s="180"/>
      <c r="N16" s="180">
        <v>1783326744.5369999</v>
      </c>
      <c r="O16" s="181">
        <v>2638989915.697</v>
      </c>
      <c r="P16" s="188"/>
    </row>
    <row r="17" spans="2:19" ht="12" customHeight="1">
      <c r="B17" s="172" t="s">
        <v>25</v>
      </c>
      <c r="C17" s="172"/>
      <c r="D17" s="172"/>
      <c r="F17" s="173">
        <v>3177595152.8067279</v>
      </c>
      <c r="G17" s="173">
        <v>3937001106.3389997</v>
      </c>
      <c r="H17" s="174"/>
      <c r="I17" s="175"/>
      <c r="J17" s="180"/>
      <c r="K17" s="180"/>
      <c r="L17" s="180"/>
      <c r="M17" s="180"/>
      <c r="N17" s="180"/>
      <c r="O17" s="180"/>
    </row>
    <row r="18" spans="2:19" ht="12" customHeight="1">
      <c r="B18" s="172" t="s">
        <v>26</v>
      </c>
      <c r="C18" s="172"/>
      <c r="D18" s="172"/>
      <c r="F18" s="173">
        <v>1127068848.0300846</v>
      </c>
      <c r="G18" s="173">
        <v>603381817.52552521</v>
      </c>
      <c r="H18" s="174"/>
      <c r="I18" s="175"/>
      <c r="J18" s="185"/>
      <c r="K18" s="185"/>
      <c r="L18" s="185"/>
      <c r="M18" s="185"/>
      <c r="N18" s="185"/>
      <c r="O18" s="180"/>
    </row>
    <row r="19" spans="2:19" ht="12" customHeight="1">
      <c r="B19" s="172" t="s">
        <v>27</v>
      </c>
      <c r="C19" s="172"/>
      <c r="D19" s="172"/>
      <c r="F19" s="173">
        <v>50843934.185090803</v>
      </c>
      <c r="G19" s="173">
        <v>37349313.073100001</v>
      </c>
      <c r="H19" s="174"/>
      <c r="I19" s="175"/>
      <c r="J19" s="173" t="s">
        <v>28</v>
      </c>
      <c r="K19" s="173"/>
      <c r="L19" s="173"/>
      <c r="M19" s="173"/>
      <c r="N19" s="176">
        <v>3022044721.7817888</v>
      </c>
      <c r="O19" s="177">
        <v>3849728788.6626973</v>
      </c>
      <c r="R19" s="189"/>
    </row>
    <row r="20" spans="2:19" ht="12" customHeight="1">
      <c r="B20" s="172" t="s">
        <v>29</v>
      </c>
      <c r="C20" s="172"/>
      <c r="D20" s="172"/>
      <c r="F20" s="173">
        <v>3798848801.711719</v>
      </c>
      <c r="G20" s="173">
        <v>4290022689.8808522</v>
      </c>
      <c r="H20" s="174"/>
      <c r="I20" s="175"/>
      <c r="J20" s="180"/>
      <c r="K20" s="180" t="s">
        <v>30</v>
      </c>
      <c r="L20" s="180"/>
      <c r="M20" s="180"/>
      <c r="N20" s="180">
        <v>1967441973.661</v>
      </c>
      <c r="O20" s="181">
        <v>2405547958.8649998</v>
      </c>
    </row>
    <row r="21" spans="2:19" ht="12" customHeight="1">
      <c r="B21" s="178"/>
      <c r="C21" s="178" t="s">
        <v>31</v>
      </c>
      <c r="D21" s="178"/>
      <c r="F21" s="179">
        <v>214096448.42500001</v>
      </c>
      <c r="G21" s="173">
        <v>243889241.85600001</v>
      </c>
      <c r="H21" s="174"/>
      <c r="I21" s="175"/>
      <c r="J21" s="180"/>
      <c r="K21" s="180" t="s">
        <v>32</v>
      </c>
      <c r="L21" s="180"/>
      <c r="M21" s="180"/>
      <c r="N21" s="180">
        <v>1048488269.2173249</v>
      </c>
      <c r="O21" s="181">
        <v>1438842866.2289102</v>
      </c>
    </row>
    <row r="22" spans="2:19" ht="12" customHeight="1">
      <c r="B22" s="178"/>
      <c r="C22" s="178" t="s">
        <v>33</v>
      </c>
      <c r="D22" s="178"/>
      <c r="F22" s="179">
        <v>3584752353.2867193</v>
      </c>
      <c r="G22" s="179">
        <v>4046133448.0248528</v>
      </c>
      <c r="H22" s="174"/>
      <c r="I22" s="175"/>
      <c r="J22" s="180"/>
      <c r="K22" s="180" t="s">
        <v>34</v>
      </c>
      <c r="L22" s="180"/>
      <c r="M22" s="180"/>
      <c r="N22" s="180">
        <v>1505570.4604630999</v>
      </c>
      <c r="O22" s="181">
        <v>914631.66979680001</v>
      </c>
      <c r="P22" s="184"/>
    </row>
    <row r="23" spans="2:19" ht="12" customHeight="1">
      <c r="B23" s="178"/>
      <c r="C23" s="178"/>
      <c r="D23" s="178" t="s">
        <v>35</v>
      </c>
      <c r="F23" s="179">
        <v>441009632.91482043</v>
      </c>
      <c r="G23" s="179">
        <v>391875641.6752212</v>
      </c>
      <c r="H23" s="174"/>
      <c r="I23" s="175"/>
      <c r="J23" s="180"/>
      <c r="K23" s="180" t="s">
        <v>36</v>
      </c>
      <c r="L23" s="180"/>
      <c r="M23" s="180"/>
      <c r="N23" s="180">
        <v>4608908.4430007013</v>
      </c>
      <c r="O23" s="181">
        <v>4423331.8989900006</v>
      </c>
    </row>
    <row r="24" spans="2:19" ht="12" customHeight="1">
      <c r="B24" s="178"/>
      <c r="C24" s="178"/>
      <c r="D24" s="178" t="s">
        <v>37</v>
      </c>
      <c r="F24" s="179"/>
      <c r="G24" s="179"/>
      <c r="H24" s="174"/>
      <c r="I24" s="175"/>
      <c r="J24" s="180"/>
      <c r="K24" s="180"/>
      <c r="L24" s="180"/>
      <c r="M24" s="180"/>
      <c r="N24" s="180"/>
      <c r="O24" s="181"/>
    </row>
    <row r="25" spans="2:19" ht="12" customHeight="1">
      <c r="B25" s="178"/>
      <c r="C25" s="178"/>
      <c r="D25" s="190" t="s">
        <v>38</v>
      </c>
      <c r="F25" s="179">
        <v>0</v>
      </c>
      <c r="G25" s="179">
        <v>0</v>
      </c>
      <c r="H25" s="174"/>
      <c r="I25" s="175"/>
      <c r="J25" s="180"/>
      <c r="K25" s="180"/>
      <c r="L25" s="180"/>
      <c r="M25" s="180"/>
      <c r="N25" s="180"/>
      <c r="O25" s="181"/>
      <c r="P25" s="184"/>
      <c r="S25" s="189"/>
    </row>
    <row r="26" spans="2:19" ht="12" customHeight="1">
      <c r="B26" s="178"/>
      <c r="C26" s="178"/>
      <c r="D26" s="190" t="s">
        <v>39</v>
      </c>
      <c r="F26" s="179">
        <v>0</v>
      </c>
      <c r="G26" s="179">
        <v>0</v>
      </c>
      <c r="H26" s="174"/>
      <c r="I26" s="175"/>
      <c r="J26" s="180"/>
      <c r="K26" s="180"/>
      <c r="L26" s="180"/>
      <c r="M26" s="180"/>
      <c r="N26" s="180"/>
      <c r="O26" s="180"/>
      <c r="P26" s="184"/>
      <c r="R26" s="189"/>
    </row>
    <row r="27" spans="2:19" ht="12" customHeight="1">
      <c r="B27" s="178"/>
      <c r="C27" s="178"/>
      <c r="D27" s="178" t="s">
        <v>33</v>
      </c>
      <c r="F27" s="179">
        <v>3143742720.3718987</v>
      </c>
      <c r="G27" s="179">
        <v>3654257806.3496313</v>
      </c>
      <c r="H27" s="174"/>
      <c r="I27" s="175"/>
      <c r="J27" s="173" t="s">
        <v>40</v>
      </c>
      <c r="K27" s="186"/>
      <c r="L27" s="186"/>
      <c r="M27" s="186"/>
      <c r="N27" s="177">
        <v>59649591468.514999</v>
      </c>
      <c r="O27" s="177">
        <v>63273636658.945999</v>
      </c>
    </row>
    <row r="28" spans="2:19" ht="12" customHeight="1">
      <c r="B28" s="187"/>
      <c r="C28" s="187"/>
      <c r="D28" s="187"/>
      <c r="F28" s="185"/>
      <c r="G28" s="179"/>
      <c r="H28" s="174"/>
      <c r="I28" s="175"/>
      <c r="J28" s="173"/>
      <c r="K28" s="186"/>
      <c r="L28" s="186"/>
      <c r="M28" s="186"/>
      <c r="N28" s="186"/>
      <c r="O28" s="173"/>
      <c r="P28" s="184"/>
    </row>
    <row r="29" spans="2:19" ht="12" customHeight="1">
      <c r="B29" s="172" t="s">
        <v>41</v>
      </c>
      <c r="C29" s="172"/>
      <c r="D29" s="172"/>
      <c r="F29" s="173">
        <v>288097.39299999998</v>
      </c>
      <c r="G29" s="179">
        <v>632189.35699999996</v>
      </c>
      <c r="H29" s="174"/>
      <c r="I29" s="175"/>
      <c r="J29" s="180"/>
      <c r="K29" s="180"/>
      <c r="L29" s="180"/>
      <c r="M29" s="180"/>
      <c r="N29" s="180"/>
      <c r="O29" s="185"/>
    </row>
    <row r="30" spans="2:19">
      <c r="B30" s="187"/>
      <c r="C30" s="187"/>
      <c r="D30" s="187"/>
      <c r="F30" s="185"/>
      <c r="G30" s="179"/>
      <c r="H30" s="174"/>
      <c r="I30" s="175"/>
      <c r="P30" s="184"/>
    </row>
    <row r="31" spans="2:19" ht="12" customHeight="1">
      <c r="B31" s="172" t="s">
        <v>42</v>
      </c>
      <c r="C31" s="172"/>
      <c r="D31" s="172"/>
      <c r="F31" s="173">
        <v>3404719907.9951048</v>
      </c>
      <c r="G31" s="179">
        <v>114093800</v>
      </c>
      <c r="H31" s="174"/>
      <c r="I31" s="175"/>
      <c r="J31" s="173"/>
      <c r="K31" s="186"/>
      <c r="L31" s="186"/>
      <c r="M31" s="186"/>
      <c r="N31" s="186"/>
      <c r="O31" s="173"/>
    </row>
    <row r="32" spans="2:19" ht="12" customHeight="1">
      <c r="B32" s="172" t="s">
        <v>43</v>
      </c>
      <c r="C32" s="172"/>
      <c r="D32" s="172"/>
      <c r="F32" s="173">
        <v>9945849.318</v>
      </c>
      <c r="G32" s="179">
        <v>52040628.719999999</v>
      </c>
      <c r="H32" s="174"/>
      <c r="I32" s="175"/>
      <c r="J32" s="185"/>
      <c r="K32" s="185"/>
      <c r="L32" s="185"/>
      <c r="M32" s="185"/>
      <c r="N32" s="185"/>
      <c r="O32" s="185"/>
    </row>
    <row r="33" spans="2:16" ht="12" customHeight="1">
      <c r="B33" s="172" t="s">
        <v>44</v>
      </c>
      <c r="C33" s="172"/>
      <c r="D33" s="172"/>
      <c r="F33" s="173">
        <v>92496420.590000004</v>
      </c>
      <c r="G33" s="179">
        <v>94509792</v>
      </c>
      <c r="H33" s="174"/>
      <c r="I33" s="175"/>
      <c r="J33" s="185"/>
      <c r="K33" s="185"/>
      <c r="L33" s="185"/>
      <c r="M33" s="185"/>
      <c r="N33" s="185"/>
      <c r="O33" s="185"/>
    </row>
    <row r="34" spans="2:16" ht="12" customHeight="1">
      <c r="B34" s="172"/>
      <c r="C34" s="172"/>
      <c r="D34" s="172"/>
      <c r="F34" s="173"/>
      <c r="G34" s="179"/>
      <c r="H34" s="174"/>
      <c r="I34" s="175"/>
      <c r="J34" s="185"/>
      <c r="K34" s="185"/>
      <c r="L34" s="185"/>
      <c r="M34" s="185"/>
      <c r="N34" s="185"/>
      <c r="O34" s="185"/>
    </row>
    <row r="35" spans="2:16" ht="12" customHeight="1">
      <c r="B35" s="172" t="s">
        <v>45</v>
      </c>
      <c r="C35" s="172"/>
      <c r="D35" s="172"/>
      <c r="F35" s="173">
        <v>1895040967.4815054</v>
      </c>
      <c r="G35" s="179">
        <v>1149998286.2429233</v>
      </c>
      <c r="H35" s="174"/>
      <c r="I35" s="175"/>
      <c r="J35" s="173" t="s">
        <v>45</v>
      </c>
      <c r="K35" s="186"/>
      <c r="L35" s="186"/>
      <c r="M35" s="186"/>
      <c r="N35" s="173">
        <v>1895040967.4815054</v>
      </c>
      <c r="O35" s="173">
        <v>1149998286.2429233</v>
      </c>
    </row>
    <row r="36" spans="2:16" ht="12" customHeight="1">
      <c r="B36" s="172" t="s">
        <v>46</v>
      </c>
      <c r="C36" s="172"/>
      <c r="D36" s="172"/>
      <c r="F36" s="173">
        <v>2316133863.9783063</v>
      </c>
      <c r="G36" s="179">
        <v>2649259703.3171873</v>
      </c>
      <c r="H36" s="174"/>
      <c r="I36" s="175"/>
      <c r="J36" s="173" t="s">
        <v>47</v>
      </c>
      <c r="K36" s="173"/>
      <c r="L36" s="173"/>
      <c r="M36" s="173"/>
      <c r="N36" s="173">
        <v>2316133863.9783063</v>
      </c>
      <c r="O36" s="173">
        <v>2649259703.3171873</v>
      </c>
      <c r="P36" s="191"/>
    </row>
    <row r="37" spans="2:16" ht="12" customHeight="1">
      <c r="B37" s="172" t="s">
        <v>48</v>
      </c>
      <c r="C37" s="172"/>
      <c r="D37" s="172"/>
      <c r="F37" s="173">
        <v>382635322.00903457</v>
      </c>
      <c r="G37" s="179">
        <v>0</v>
      </c>
      <c r="H37" s="174"/>
      <c r="I37" s="175"/>
      <c r="J37" s="173" t="s">
        <v>48</v>
      </c>
      <c r="K37" s="173"/>
      <c r="L37" s="173"/>
      <c r="M37" s="173"/>
      <c r="N37" s="173">
        <v>382635322.00903451</v>
      </c>
      <c r="O37" s="173">
        <v>0</v>
      </c>
      <c r="P37" s="191"/>
    </row>
    <row r="38" spans="2:16" ht="12" customHeight="1">
      <c r="B38" s="172" t="s">
        <v>49</v>
      </c>
      <c r="C38" s="172"/>
      <c r="D38" s="172"/>
      <c r="F38" s="173">
        <v>646441326.47500002</v>
      </c>
      <c r="G38" s="179">
        <v>485068604</v>
      </c>
      <c r="H38" s="174"/>
      <c r="I38" s="175"/>
      <c r="J38" s="172" t="s">
        <v>49</v>
      </c>
      <c r="K38" s="173"/>
      <c r="L38" s="173"/>
      <c r="M38" s="173"/>
      <c r="N38" s="173">
        <v>646441326.47500002</v>
      </c>
      <c r="O38" s="173">
        <v>485068604</v>
      </c>
      <c r="P38" s="191"/>
    </row>
    <row r="39" spans="2:16" ht="12" customHeight="1">
      <c r="B39" s="172" t="s">
        <v>50</v>
      </c>
      <c r="C39" s="172"/>
      <c r="D39" s="172"/>
      <c r="F39" s="173">
        <v>313024187.93199998</v>
      </c>
      <c r="G39" s="179">
        <v>154049629.595</v>
      </c>
      <c r="H39" s="174"/>
      <c r="I39" s="175"/>
      <c r="J39" s="172" t="s">
        <v>50</v>
      </c>
      <c r="K39" s="173"/>
      <c r="L39" s="173"/>
      <c r="M39" s="173"/>
      <c r="N39" s="173">
        <v>313024187.93199998</v>
      </c>
      <c r="O39" s="173">
        <v>154049629.595</v>
      </c>
      <c r="P39" s="191"/>
    </row>
    <row r="40" spans="2:16" ht="12" customHeight="1">
      <c r="B40" s="172" t="s">
        <v>51</v>
      </c>
      <c r="C40" s="172"/>
      <c r="D40" s="172"/>
      <c r="F40" s="173">
        <v>565106379</v>
      </c>
      <c r="G40" s="179">
        <v>1097050356</v>
      </c>
      <c r="H40" s="174"/>
      <c r="I40" s="175"/>
      <c r="J40" s="172" t="s">
        <v>51</v>
      </c>
      <c r="K40" s="173"/>
      <c r="L40" s="173"/>
      <c r="M40" s="173"/>
      <c r="N40" s="173">
        <v>565106379</v>
      </c>
      <c r="O40" s="173">
        <v>1097050356</v>
      </c>
      <c r="P40" s="191"/>
    </row>
    <row r="41" spans="2:16" ht="12" customHeight="1">
      <c r="B41" s="172" t="s">
        <v>52</v>
      </c>
      <c r="C41" s="172"/>
      <c r="D41" s="172"/>
      <c r="F41" s="173">
        <v>0</v>
      </c>
      <c r="G41" s="179">
        <v>0</v>
      </c>
      <c r="H41" s="174"/>
      <c r="I41" s="175"/>
      <c r="J41" s="172" t="s">
        <v>52</v>
      </c>
      <c r="K41" s="172"/>
      <c r="L41" s="173"/>
      <c r="M41" s="173"/>
      <c r="N41" s="173">
        <v>0</v>
      </c>
      <c r="O41" s="173">
        <v>0</v>
      </c>
      <c r="P41" s="191"/>
    </row>
    <row r="42" spans="2:16" ht="12" customHeight="1">
      <c r="B42" s="172" t="s">
        <v>53</v>
      </c>
      <c r="C42" s="172"/>
      <c r="D42" s="172"/>
      <c r="F42" s="173">
        <v>0</v>
      </c>
      <c r="G42" s="179">
        <v>0</v>
      </c>
      <c r="H42" s="174"/>
      <c r="I42" s="175"/>
      <c r="J42" s="172" t="s">
        <v>53</v>
      </c>
      <c r="K42" s="172"/>
      <c r="L42" s="173"/>
      <c r="M42" s="173"/>
      <c r="N42" s="173">
        <v>0</v>
      </c>
      <c r="O42" s="173">
        <v>0</v>
      </c>
      <c r="P42" s="191"/>
    </row>
    <row r="43" spans="2:16" ht="12" customHeight="1">
      <c r="B43" s="172" t="s">
        <v>54</v>
      </c>
      <c r="C43" s="172"/>
      <c r="D43" s="172"/>
      <c r="F43" s="173">
        <v>0</v>
      </c>
      <c r="G43" s="179">
        <v>0</v>
      </c>
      <c r="H43" s="174"/>
      <c r="I43" s="175"/>
      <c r="J43" s="172" t="s">
        <v>54</v>
      </c>
      <c r="K43" s="172"/>
      <c r="L43" s="173"/>
      <c r="M43" s="173"/>
      <c r="N43" s="173">
        <v>0</v>
      </c>
      <c r="O43" s="173">
        <v>0</v>
      </c>
      <c r="P43" s="191"/>
    </row>
    <row r="44" spans="2:16" ht="12" customHeight="1">
      <c r="B44" s="187"/>
      <c r="C44" s="187"/>
      <c r="D44" s="187"/>
      <c r="F44" s="185"/>
      <c r="G44" s="185"/>
      <c r="H44" s="174"/>
      <c r="I44" s="175"/>
      <c r="J44" s="173"/>
      <c r="K44" s="173"/>
      <c r="L44" s="173"/>
      <c r="M44" s="173"/>
      <c r="N44" s="173"/>
      <c r="O44" s="173"/>
      <c r="P44" s="184"/>
    </row>
    <row r="45" spans="2:16" ht="12" customHeight="1">
      <c r="B45" s="192" t="s">
        <v>55</v>
      </c>
      <c r="C45" s="192"/>
      <c r="D45" s="192"/>
      <c r="E45" s="193"/>
      <c r="F45" s="194">
        <v>67654735903.251953</v>
      </c>
      <c r="G45" s="194">
        <v>69454619029.176514</v>
      </c>
      <c r="H45" s="195"/>
      <c r="I45" s="196"/>
      <c r="J45" s="194" t="s">
        <v>55</v>
      </c>
      <c r="K45" s="194"/>
      <c r="L45" s="194"/>
      <c r="M45" s="194"/>
      <c r="N45" s="194">
        <v>74987283628.189972</v>
      </c>
      <c r="O45" s="194">
        <v>79616258784.566391</v>
      </c>
    </row>
    <row r="46" spans="2:16" ht="12" customHeight="1">
      <c r="B46" s="187"/>
      <c r="C46" s="187"/>
      <c r="D46" s="187"/>
      <c r="F46" s="185"/>
      <c r="G46" s="185"/>
      <c r="H46" s="174"/>
      <c r="I46" s="175"/>
      <c r="J46" s="185"/>
      <c r="K46" s="185"/>
      <c r="L46" s="185"/>
      <c r="M46" s="185"/>
      <c r="N46" s="185"/>
      <c r="O46" s="185"/>
    </row>
    <row r="47" spans="2:16" ht="12" customHeight="1">
      <c r="B47" s="172" t="s">
        <v>56</v>
      </c>
      <c r="C47" s="172"/>
      <c r="D47" s="172"/>
      <c r="F47" s="173">
        <v>19052932201.5448</v>
      </c>
      <c r="G47" s="173">
        <v>27820542510.01429</v>
      </c>
      <c r="H47" s="174"/>
      <c r="I47" s="175"/>
      <c r="J47" s="173" t="s">
        <v>57</v>
      </c>
      <c r="K47" s="173"/>
      <c r="L47" s="173"/>
      <c r="M47" s="173"/>
      <c r="N47" s="173">
        <v>11377330268.263205</v>
      </c>
      <c r="O47" s="177">
        <v>16672083316.529882</v>
      </c>
    </row>
    <row r="48" spans="2:16" ht="12" customHeight="1">
      <c r="B48" s="178"/>
      <c r="C48" s="178" t="s">
        <v>58</v>
      </c>
      <c r="D48" s="178"/>
      <c r="F48" s="179">
        <v>14848575138.048</v>
      </c>
      <c r="G48" s="179">
        <v>24289202253.562</v>
      </c>
      <c r="H48" s="174"/>
      <c r="I48" s="175"/>
      <c r="J48" s="180"/>
      <c r="K48" s="180" t="s">
        <v>59</v>
      </c>
      <c r="L48" s="180"/>
      <c r="M48" s="180"/>
      <c r="N48" s="180">
        <v>10176814486.635</v>
      </c>
      <c r="O48" s="197">
        <v>16622543050.146</v>
      </c>
    </row>
    <row r="49" spans="2:17" ht="12" customHeight="1">
      <c r="B49" s="178"/>
      <c r="C49" s="178" t="s">
        <v>60</v>
      </c>
      <c r="D49" s="178"/>
      <c r="F49" s="179">
        <v>4204357063.4967995</v>
      </c>
      <c r="G49" s="179">
        <v>3531340256.4522901</v>
      </c>
      <c r="H49" s="174"/>
      <c r="I49" s="175"/>
      <c r="J49" s="180"/>
      <c r="K49" s="180" t="s">
        <v>61</v>
      </c>
      <c r="L49" s="180"/>
      <c r="M49" s="180"/>
      <c r="N49" s="180">
        <v>1200515781.6282051</v>
      </c>
      <c r="O49" s="197">
        <v>49540266.383881599</v>
      </c>
    </row>
    <row r="50" spans="2:17" ht="12" customHeight="1">
      <c r="B50" s="172" t="s">
        <v>62</v>
      </c>
      <c r="C50" s="172"/>
      <c r="D50" s="172"/>
      <c r="F50" s="173">
        <v>-320069359.51760674</v>
      </c>
      <c r="G50" s="179">
        <v>-304214451.94200039</v>
      </c>
      <c r="H50" s="174"/>
      <c r="I50" s="175"/>
      <c r="J50" s="180"/>
      <c r="K50" s="180"/>
      <c r="L50" s="180"/>
      <c r="M50" s="180"/>
      <c r="N50" s="180"/>
      <c r="O50" s="180"/>
    </row>
    <row r="51" spans="2:17" ht="12" customHeight="1">
      <c r="B51" s="172" t="s">
        <v>63</v>
      </c>
      <c r="C51" s="172"/>
      <c r="D51" s="172"/>
      <c r="F51" s="173">
        <v>-22984849</v>
      </c>
      <c r="G51" s="173">
        <v>-682604986.15252697</v>
      </c>
      <c r="H51" s="174"/>
      <c r="I51" s="175"/>
      <c r="J51" s="180"/>
      <c r="K51" s="180"/>
      <c r="L51" s="180"/>
      <c r="M51" s="180"/>
      <c r="N51" s="180"/>
      <c r="O51" s="180"/>
    </row>
    <row r="52" spans="2:17" ht="12" customHeight="1">
      <c r="B52" s="187"/>
      <c r="C52" s="187"/>
      <c r="D52" s="187"/>
      <c r="F52" s="185"/>
      <c r="G52" s="185"/>
      <c r="H52" s="174"/>
      <c r="I52" s="175"/>
      <c r="J52" s="185"/>
      <c r="K52" s="185"/>
      <c r="L52" s="185"/>
      <c r="M52" s="185"/>
      <c r="N52" s="185"/>
      <c r="O52" s="185"/>
    </row>
    <row r="53" spans="2:17" ht="12" customHeight="1">
      <c r="B53" s="192" t="s">
        <v>64</v>
      </c>
      <c r="C53" s="192"/>
      <c r="D53" s="192"/>
      <c r="E53" s="193"/>
      <c r="F53" s="194">
        <v>86364613896.279144</v>
      </c>
      <c r="G53" s="194">
        <v>96288342101.096268</v>
      </c>
      <c r="H53" s="195"/>
      <c r="I53" s="196"/>
      <c r="J53" s="194" t="s">
        <v>65</v>
      </c>
      <c r="K53" s="194"/>
      <c r="L53" s="194"/>
      <c r="M53" s="194"/>
      <c r="N53" s="194">
        <v>86364613896.453171</v>
      </c>
      <c r="O53" s="194">
        <v>96288342101.096268</v>
      </c>
      <c r="Q53" s="198">
        <v>0</v>
      </c>
    </row>
    <row r="54" spans="2:17" ht="12" customHeight="1">
      <c r="F54" s="198"/>
      <c r="G54" s="198"/>
      <c r="L54" s="198"/>
      <c r="N54" s="174"/>
      <c r="O54" s="174"/>
    </row>
    <row r="55" spans="2:17" ht="12" customHeight="1">
      <c r="B55" s="178" t="s">
        <v>66</v>
      </c>
      <c r="F55" s="198"/>
      <c r="G55" s="198"/>
      <c r="O55" s="198"/>
    </row>
    <row r="56" spans="2:17" ht="12" customHeight="1">
      <c r="B56" s="178" t="s">
        <v>67</v>
      </c>
      <c r="F56" s="198"/>
      <c r="G56" s="198"/>
    </row>
    <row r="57" spans="2:17" ht="12" customHeight="1">
      <c r="B57" s="178" t="s">
        <v>153</v>
      </c>
      <c r="F57" s="198"/>
      <c r="G57" s="198"/>
    </row>
    <row r="58" spans="2:17" ht="7.5" customHeight="1">
      <c r="B58" s="178"/>
      <c r="F58" s="198"/>
      <c r="G58" s="198"/>
    </row>
    <row r="59" spans="2:17">
      <c r="B59" s="199"/>
      <c r="C59" s="199"/>
      <c r="D59" s="199"/>
      <c r="E59" s="199"/>
      <c r="F59" s="199"/>
      <c r="G59" s="199"/>
      <c r="H59" s="199"/>
      <c r="I59" s="199"/>
      <c r="J59" s="199"/>
      <c r="K59" s="199"/>
      <c r="L59" s="199"/>
      <c r="M59" s="199"/>
      <c r="N59" s="199"/>
      <c r="O59" s="200"/>
    </row>
    <row r="60" spans="2:17" ht="12" customHeight="1">
      <c r="G60" s="201"/>
      <c r="H60" s="201"/>
      <c r="I60" s="201"/>
      <c r="J60" s="201"/>
      <c r="K60" s="201"/>
      <c r="L60" s="201"/>
      <c r="M60" s="201"/>
      <c r="N60" s="201"/>
      <c r="O60" s="201"/>
      <c r="P60" s="201"/>
    </row>
    <row r="61" spans="2:17" ht="12" customHeight="1">
      <c r="F61" s="189"/>
      <c r="G61" s="201"/>
      <c r="H61" s="201"/>
      <c r="I61" s="201"/>
      <c r="J61" s="201"/>
      <c r="K61" s="201"/>
      <c r="L61" s="201"/>
      <c r="M61" s="201"/>
      <c r="N61" s="201"/>
      <c r="O61" s="201"/>
    </row>
    <row r="62" spans="2:17" ht="12" customHeight="1">
      <c r="G62" s="201"/>
      <c r="H62" s="201"/>
      <c r="I62" s="201"/>
      <c r="J62" s="201"/>
      <c r="K62" s="201"/>
      <c r="L62" s="201"/>
      <c r="M62" s="201"/>
      <c r="N62" s="201"/>
      <c r="O62" s="201"/>
    </row>
    <row r="65" spans="7:16" ht="12" customHeight="1">
      <c r="G65" s="201"/>
    </row>
    <row r="66" spans="7:16" ht="12" customHeight="1">
      <c r="G66" s="202"/>
    </row>
    <row r="67" spans="7:16" ht="12" customHeight="1">
      <c r="G67" s="201"/>
      <c r="O67" s="201"/>
    </row>
    <row r="68" spans="7:16" ht="12" customHeight="1">
      <c r="G68" s="201"/>
      <c r="O68" s="201"/>
    </row>
    <row r="69" spans="7:16" ht="12" customHeight="1">
      <c r="G69" s="202"/>
      <c r="O69" s="202"/>
      <c r="P69" s="202"/>
    </row>
    <row r="70" spans="7:16" ht="12" customHeight="1">
      <c r="G70" s="174"/>
    </row>
  </sheetData>
  <mergeCells count="3">
    <mergeCell ref="B1:O1"/>
    <mergeCell ref="B2:O2"/>
    <mergeCell ref="B3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2CFE-8132-4863-B664-42E93E95F948}">
  <sheetPr>
    <tabColor rgb="FFD9E2F3"/>
  </sheetPr>
  <dimension ref="A2:K241"/>
  <sheetViews>
    <sheetView topLeftCell="A166" workbookViewId="0">
      <selection activeCell="G18" sqref="G18"/>
    </sheetView>
  </sheetViews>
  <sheetFormatPr baseColWidth="10" defaultColWidth="11.42578125" defaultRowHeight="15"/>
  <cols>
    <col min="1" max="1" width="1.28515625" style="164" customWidth="1"/>
    <col min="2" max="2" width="2.7109375" style="164" customWidth="1"/>
    <col min="3" max="3" width="2.5703125" style="164" customWidth="1"/>
    <col min="4" max="4" width="22.85546875" style="164" customWidth="1"/>
    <col min="5" max="5" width="30.28515625" style="164" customWidth="1"/>
    <col min="6" max="6" width="15.85546875" style="174" bestFit="1" customWidth="1"/>
    <col min="7" max="7" width="13.85546875" style="174" customWidth="1"/>
    <col min="8" max="8" width="11.28515625" style="240" customWidth="1"/>
    <col min="9" max="9" width="13.7109375" style="164" bestFit="1" customWidth="1"/>
    <col min="10" max="10" width="17.85546875" style="208" bestFit="1" customWidth="1"/>
    <col min="11" max="11" width="20.7109375" style="209" customWidth="1"/>
    <col min="12" max="16384" width="11.42578125" style="164"/>
  </cols>
  <sheetData>
    <row r="2" spans="1:11" s="204" customFormat="1" ht="12" customHeight="1">
      <c r="A2" s="203"/>
      <c r="B2" s="245" t="s">
        <v>68</v>
      </c>
      <c r="C2" s="245"/>
      <c r="D2" s="245"/>
      <c r="E2" s="245"/>
      <c r="F2" s="245"/>
      <c r="G2" s="245"/>
      <c r="H2" s="245"/>
      <c r="J2" s="205"/>
      <c r="K2" s="206"/>
    </row>
    <row r="3" spans="1:11" ht="12" customHeight="1">
      <c r="A3" s="207"/>
      <c r="B3" s="247" t="s">
        <v>69</v>
      </c>
      <c r="C3" s="247"/>
      <c r="D3" s="247"/>
      <c r="E3" s="247"/>
      <c r="F3" s="247"/>
      <c r="G3" s="247"/>
      <c r="H3" s="247"/>
    </row>
    <row r="4" spans="1:11" ht="12" customHeight="1">
      <c r="A4" s="207"/>
      <c r="B4" s="248" t="s">
        <v>1</v>
      </c>
      <c r="C4" s="248"/>
      <c r="D4" s="248"/>
      <c r="E4" s="248"/>
      <c r="F4" s="248"/>
      <c r="G4" s="248"/>
      <c r="H4" s="248"/>
      <c r="J4" s="210"/>
    </row>
    <row r="5" spans="1:11" ht="12" customHeight="1">
      <c r="A5" s="178"/>
      <c r="B5" s="248" t="s">
        <v>70</v>
      </c>
      <c r="C5" s="248"/>
      <c r="D5" s="248"/>
      <c r="E5" s="248"/>
      <c r="F5" s="248"/>
      <c r="G5" s="248"/>
      <c r="H5" s="248"/>
      <c r="J5" s="210"/>
    </row>
    <row r="6" spans="1:11" ht="4.5" customHeight="1">
      <c r="A6" s="187"/>
      <c r="B6" s="187"/>
      <c r="C6" s="187"/>
      <c r="D6" s="187"/>
      <c r="E6" s="187"/>
      <c r="F6" s="185"/>
      <c r="G6" s="185"/>
      <c r="H6" s="211"/>
    </row>
    <row r="7" spans="1:11" s="206" customFormat="1" ht="25.5">
      <c r="A7" s="212"/>
      <c r="B7" s="213" t="s">
        <v>71</v>
      </c>
      <c r="C7" s="214"/>
      <c r="D7" s="214"/>
      <c r="E7" s="214"/>
      <c r="F7" s="215" t="s">
        <v>72</v>
      </c>
      <c r="G7" s="215" t="s">
        <v>73</v>
      </c>
      <c r="H7" s="216" t="s">
        <v>74</v>
      </c>
      <c r="J7" s="205"/>
    </row>
    <row r="8" spans="1:11" ht="4.5" customHeight="1">
      <c r="A8" s="187"/>
      <c r="B8" s="169"/>
      <c r="C8" s="169"/>
      <c r="D8" s="169"/>
      <c r="E8" s="169"/>
      <c r="F8" s="217"/>
      <c r="G8" s="185"/>
      <c r="H8" s="218"/>
    </row>
    <row r="9" spans="1:11" ht="12" customHeight="1">
      <c r="A9" s="172"/>
      <c r="B9" s="172" t="s">
        <v>7</v>
      </c>
      <c r="C9" s="172"/>
      <c r="D9" s="172"/>
      <c r="E9" s="219"/>
      <c r="F9" s="173">
        <v>55976947112.627556</v>
      </c>
      <c r="G9" s="173">
        <v>54790160767.038422</v>
      </c>
      <c r="H9" s="220">
        <v>-2.1201341030643861</v>
      </c>
      <c r="K9" s="221"/>
    </row>
    <row r="10" spans="1:11" ht="12.75" customHeight="1">
      <c r="A10" s="172"/>
      <c r="B10" s="172"/>
      <c r="C10" s="172"/>
      <c r="D10" s="172"/>
      <c r="E10" s="219"/>
      <c r="F10" s="173"/>
      <c r="G10" s="173"/>
      <c r="H10" s="222"/>
      <c r="I10" s="174"/>
    </row>
    <row r="11" spans="1:11" ht="12" customHeight="1">
      <c r="A11" s="172"/>
      <c r="B11" s="172"/>
      <c r="C11" s="172" t="s">
        <v>9</v>
      </c>
      <c r="D11" s="172"/>
      <c r="E11" s="219"/>
      <c r="F11" s="173">
        <v>28103287175.542</v>
      </c>
      <c r="G11" s="173">
        <v>25542706653.996048</v>
      </c>
      <c r="H11" s="222">
        <v>-9.1113203432458221</v>
      </c>
      <c r="K11" s="221"/>
    </row>
    <row r="12" spans="1:11" s="227" customFormat="1" ht="12" customHeight="1">
      <c r="A12" s="223"/>
      <c r="B12" s="223"/>
      <c r="C12" s="223" t="s">
        <v>75</v>
      </c>
      <c r="D12" s="223"/>
      <c r="E12" s="224"/>
      <c r="F12" s="225"/>
      <c r="G12" s="225"/>
      <c r="H12" s="226"/>
      <c r="I12" s="164"/>
      <c r="J12" s="208"/>
      <c r="K12" s="221"/>
    </row>
    <row r="13" spans="1:11" s="227" customFormat="1" ht="12" customHeight="1">
      <c r="A13" s="223"/>
      <c r="B13" s="223"/>
      <c r="C13" s="223" t="s">
        <v>76</v>
      </c>
      <c r="D13" s="223"/>
      <c r="E13" s="224"/>
      <c r="F13" s="228">
        <v>16288863439.428566</v>
      </c>
      <c r="G13" s="228">
        <v>13698377375.668339</v>
      </c>
      <c r="H13" s="229">
        <v>-15.903418144508086</v>
      </c>
      <c r="I13" s="164"/>
      <c r="J13" s="208"/>
      <c r="K13" s="221"/>
    </row>
    <row r="14" spans="1:11" ht="12" customHeight="1">
      <c r="A14" s="178"/>
      <c r="B14" s="178"/>
      <c r="C14" s="178" t="s">
        <v>77</v>
      </c>
      <c r="D14" s="178"/>
      <c r="E14" s="230"/>
      <c r="F14" s="228">
        <v>3914080239.3360248</v>
      </c>
      <c r="G14" s="180">
        <v>5803910160.3320789</v>
      </c>
      <c r="H14" s="231">
        <v>48.282860990009759</v>
      </c>
      <c r="K14" s="221"/>
    </row>
    <row r="15" spans="1:11" ht="12" customHeight="1">
      <c r="A15" s="178"/>
      <c r="B15" s="178"/>
      <c r="C15" s="178" t="s">
        <v>78</v>
      </c>
      <c r="D15" s="223"/>
      <c r="E15" s="230"/>
      <c r="F15" s="228">
        <v>1309150834.6170001</v>
      </c>
      <c r="G15" s="180">
        <v>1514487465.289</v>
      </c>
      <c r="H15" s="231">
        <v>15.684719074565034</v>
      </c>
      <c r="K15" s="221"/>
    </row>
    <row r="16" spans="1:11" ht="12" customHeight="1">
      <c r="A16" s="178"/>
      <c r="B16" s="178"/>
      <c r="C16" s="178" t="s">
        <v>79</v>
      </c>
      <c r="D16" s="178"/>
      <c r="E16" s="230"/>
      <c r="F16" s="228">
        <v>3648249017.4261513</v>
      </c>
      <c r="G16" s="180">
        <v>3124313429.7683425</v>
      </c>
      <c r="H16" s="231">
        <v>-14.361289077450278</v>
      </c>
      <c r="K16" s="221"/>
    </row>
    <row r="17" spans="1:11" ht="12" customHeight="1">
      <c r="A17" s="178"/>
      <c r="B17" s="178"/>
      <c r="C17" s="178" t="s">
        <v>80</v>
      </c>
      <c r="D17" s="178"/>
      <c r="E17" s="230"/>
      <c r="F17" s="228">
        <v>1414164527.2811074</v>
      </c>
      <c r="G17" s="180">
        <v>633897850.22464764</v>
      </c>
      <c r="H17" s="231">
        <v>-55.175098936798491</v>
      </c>
      <c r="K17" s="221"/>
    </row>
    <row r="18" spans="1:11" ht="12" customHeight="1">
      <c r="A18" s="178"/>
      <c r="B18" s="178"/>
      <c r="C18" s="178" t="s">
        <v>81</v>
      </c>
      <c r="D18" s="178"/>
      <c r="E18" s="230"/>
      <c r="F18" s="228">
        <v>109014061.92636409</v>
      </c>
      <c r="G18" s="180">
        <v>127204219.0614512</v>
      </c>
      <c r="H18" s="231">
        <v>16.686064910941532</v>
      </c>
      <c r="K18" s="221"/>
    </row>
    <row r="19" spans="1:11" ht="12" customHeight="1">
      <c r="A19" s="178"/>
      <c r="B19" s="178"/>
      <c r="C19" s="178" t="s">
        <v>82</v>
      </c>
      <c r="D19" s="178"/>
      <c r="E19" s="230"/>
      <c r="F19" s="228">
        <v>47506520.113125399</v>
      </c>
      <c r="G19" s="180">
        <v>16703752.108568801</v>
      </c>
      <c r="H19" s="231">
        <v>-64.83903247639941</v>
      </c>
      <c r="K19" s="221"/>
    </row>
    <row r="20" spans="1:11" ht="12" customHeight="1">
      <c r="A20" s="178"/>
      <c r="B20" s="178"/>
      <c r="C20" s="178" t="s">
        <v>83</v>
      </c>
      <c r="D20" s="178"/>
      <c r="E20" s="230"/>
      <c r="F20" s="228">
        <v>1372258535.4136565</v>
      </c>
      <c r="G20" s="180">
        <v>623812401.54361653</v>
      </c>
      <c r="H20" s="231">
        <v>-54.541189911012424</v>
      </c>
      <c r="K20" s="221"/>
    </row>
    <row r="21" spans="1:11" ht="12" customHeight="1">
      <c r="A21" s="178"/>
      <c r="B21" s="178"/>
      <c r="C21" s="178" t="s">
        <v>84</v>
      </c>
      <c r="D21" s="178"/>
      <c r="E21" s="230"/>
      <c r="F21" s="228">
        <v>0</v>
      </c>
      <c r="G21" s="180">
        <v>0</v>
      </c>
      <c r="H21" s="231">
        <v>0</v>
      </c>
      <c r="K21" s="221"/>
    </row>
    <row r="22" spans="1:11" ht="4.5" customHeight="1">
      <c r="A22" s="187"/>
      <c r="B22" s="187"/>
      <c r="C22" s="187"/>
      <c r="D22" s="187"/>
      <c r="E22" s="230"/>
      <c r="F22" s="180"/>
      <c r="G22" s="180"/>
      <c r="H22" s="231"/>
      <c r="K22" s="221"/>
    </row>
    <row r="23" spans="1:11">
      <c r="A23" s="187"/>
      <c r="B23" s="187"/>
      <c r="C23" s="187"/>
      <c r="D23" s="187"/>
      <c r="E23" s="230"/>
      <c r="F23" s="180"/>
      <c r="G23" s="180"/>
      <c r="H23" s="231"/>
      <c r="K23" s="221"/>
    </row>
    <row r="24" spans="1:11" ht="12" customHeight="1">
      <c r="A24" s="172"/>
      <c r="B24" s="172" t="s">
        <v>85</v>
      </c>
      <c r="C24" s="172"/>
      <c r="D24" s="172"/>
      <c r="E24" s="219"/>
      <c r="F24" s="173">
        <v>22842833163.42754</v>
      </c>
      <c r="G24" s="173">
        <v>25506568990.964531</v>
      </c>
      <c r="H24" s="232">
        <v>11.661144694615899</v>
      </c>
      <c r="K24" s="221"/>
    </row>
    <row r="25" spans="1:11" ht="12" customHeight="1">
      <c r="A25" s="178"/>
      <c r="B25" s="178"/>
      <c r="C25" s="178" t="s">
        <v>86</v>
      </c>
      <c r="D25" s="178"/>
      <c r="E25" s="230"/>
      <c r="F25" s="180">
        <v>6091269076.2835388</v>
      </c>
      <c r="G25" s="180">
        <v>10826074572.838531</v>
      </c>
      <c r="H25" s="231">
        <v>77.7310185654093</v>
      </c>
      <c r="K25" s="221"/>
    </row>
    <row r="26" spans="1:11" ht="12" customHeight="1">
      <c r="A26" s="178"/>
      <c r="B26" s="178"/>
      <c r="C26" s="178"/>
      <c r="D26" s="178" t="s">
        <v>87</v>
      </c>
      <c r="E26" s="230"/>
      <c r="F26" s="180">
        <v>85861849833.710541</v>
      </c>
      <c r="G26" s="180">
        <v>94656567984.833527</v>
      </c>
      <c r="H26" s="231">
        <v>10.242870574248975</v>
      </c>
      <c r="K26" s="221"/>
    </row>
    <row r="27" spans="1:11" ht="12" customHeight="1">
      <c r="A27" s="178"/>
      <c r="B27" s="178"/>
      <c r="C27" s="178"/>
      <c r="D27" s="178" t="s">
        <v>88</v>
      </c>
      <c r="E27" s="230"/>
      <c r="F27" s="180">
        <v>-79770580757.427002</v>
      </c>
      <c r="G27" s="180">
        <v>-83830493411.994995</v>
      </c>
      <c r="H27" s="231">
        <v>5.0894861439127803</v>
      </c>
      <c r="K27" s="221"/>
    </row>
    <row r="28" spans="1:11" ht="4.5" customHeight="1">
      <c r="A28" s="187"/>
      <c r="B28" s="187"/>
      <c r="C28" s="187"/>
      <c r="D28" s="187"/>
      <c r="E28" s="230"/>
      <c r="F28" s="180"/>
      <c r="G28" s="180"/>
      <c r="H28" s="231"/>
      <c r="K28" s="221"/>
    </row>
    <row r="29" spans="1:11">
      <c r="A29" s="187"/>
      <c r="B29" s="187"/>
      <c r="C29" s="187"/>
      <c r="D29" s="187"/>
      <c r="E29" s="230"/>
      <c r="F29" s="180"/>
      <c r="G29" s="180"/>
      <c r="H29" s="231"/>
      <c r="K29" s="221"/>
    </row>
    <row r="30" spans="1:11" ht="12" customHeight="1">
      <c r="A30" s="178"/>
      <c r="B30" s="178"/>
      <c r="C30" s="178" t="s">
        <v>89</v>
      </c>
      <c r="D30" s="178"/>
      <c r="E30" s="230"/>
      <c r="F30" s="180">
        <v>644814311.83800006</v>
      </c>
      <c r="G30" s="180">
        <v>683819209.47100008</v>
      </c>
      <c r="H30" s="231">
        <v>6.0490123927025019</v>
      </c>
      <c r="K30" s="221"/>
    </row>
    <row r="31" spans="1:11" ht="12" customHeight="1">
      <c r="A31" s="178"/>
      <c r="B31" s="178"/>
      <c r="C31" s="178"/>
      <c r="D31" s="178" t="s">
        <v>87</v>
      </c>
      <c r="E31" s="230"/>
      <c r="F31" s="180">
        <v>1115434288.829</v>
      </c>
      <c r="G31" s="180">
        <v>1105469149.1210001</v>
      </c>
      <c r="H31" s="231">
        <v>-0.89338653184685146</v>
      </c>
      <c r="K31" s="221"/>
    </row>
    <row r="32" spans="1:11" ht="12" customHeight="1">
      <c r="A32" s="178"/>
      <c r="B32" s="178"/>
      <c r="C32" s="178"/>
      <c r="D32" s="178" t="s">
        <v>88</v>
      </c>
      <c r="E32" s="230"/>
      <c r="F32" s="180">
        <v>-470619976.991</v>
      </c>
      <c r="G32" s="180">
        <v>-421649939.64999998</v>
      </c>
      <c r="H32" s="231">
        <v>-10.405431077129245</v>
      </c>
      <c r="K32" s="221"/>
    </row>
    <row r="33" spans="1:11" ht="3.75" customHeight="1">
      <c r="A33" s="178"/>
      <c r="B33" s="178"/>
      <c r="C33" s="178"/>
      <c r="D33" s="178"/>
      <c r="E33" s="230"/>
      <c r="F33" s="180">
        <v>0</v>
      </c>
      <c r="G33" s="180">
        <v>0</v>
      </c>
      <c r="H33" s="231"/>
      <c r="K33" s="221"/>
    </row>
    <row r="34" spans="1:11" ht="12" customHeight="1">
      <c r="A34" s="178"/>
      <c r="B34" s="178"/>
      <c r="C34" s="178" t="s">
        <v>90</v>
      </c>
      <c r="D34" s="178"/>
      <c r="E34" s="230"/>
      <c r="F34" s="180">
        <v>16106749775.306</v>
      </c>
      <c r="G34" s="180">
        <v>13996675208.655001</v>
      </c>
      <c r="H34" s="231">
        <v>-13.100560920652359</v>
      </c>
      <c r="K34" s="221"/>
    </row>
    <row r="35" spans="1:11" ht="3.75" customHeight="1">
      <c r="A35" s="187"/>
      <c r="B35" s="187"/>
      <c r="C35" s="187"/>
      <c r="D35" s="187"/>
      <c r="E35" s="230"/>
      <c r="F35" s="180"/>
      <c r="G35" s="180"/>
      <c r="H35" s="231"/>
      <c r="K35" s="221"/>
    </row>
    <row r="36" spans="1:11">
      <c r="A36" s="187"/>
      <c r="B36" s="187"/>
      <c r="C36" s="187"/>
      <c r="D36" s="187"/>
      <c r="E36" s="230"/>
      <c r="F36" s="180"/>
      <c r="G36" s="180"/>
      <c r="H36" s="231"/>
      <c r="K36" s="221"/>
    </row>
    <row r="37" spans="1:11" ht="12" customHeight="1">
      <c r="A37" s="172"/>
      <c r="B37" s="172" t="s">
        <v>13</v>
      </c>
      <c r="C37" s="172"/>
      <c r="D37" s="172"/>
      <c r="E37" s="219"/>
      <c r="F37" s="173">
        <v>2004557832.0250001</v>
      </c>
      <c r="G37" s="173">
        <v>3535236680.0269995</v>
      </c>
      <c r="H37" s="222">
        <v>76.359924545340306</v>
      </c>
      <c r="K37" s="221"/>
    </row>
    <row r="38" spans="1:11" ht="12" customHeight="1">
      <c r="A38" s="178"/>
      <c r="B38" s="178"/>
      <c r="C38" s="178" t="s">
        <v>91</v>
      </c>
      <c r="D38" s="178"/>
      <c r="E38" s="230"/>
      <c r="F38" s="180">
        <v>1171363028.2290001</v>
      </c>
      <c r="G38" s="180">
        <v>966742090.25300002</v>
      </c>
      <c r="H38" s="231">
        <v>-17.468618442343132</v>
      </c>
      <c r="K38" s="221"/>
    </row>
    <row r="39" spans="1:11" ht="12" customHeight="1">
      <c r="A39" s="178"/>
      <c r="B39" s="178"/>
      <c r="C39" s="178" t="s">
        <v>92</v>
      </c>
      <c r="D39" s="178"/>
      <c r="E39" s="230"/>
      <c r="F39" s="180">
        <v>833194803.796</v>
      </c>
      <c r="G39" s="180">
        <v>2568494589.7739997</v>
      </c>
      <c r="H39" s="231">
        <v>208.27059627257006</v>
      </c>
      <c r="K39" s="221"/>
    </row>
    <row r="40" spans="1:11" ht="12" customHeight="1">
      <c r="A40" s="178"/>
      <c r="B40" s="178"/>
      <c r="C40" s="178"/>
      <c r="D40" s="178" t="s">
        <v>93</v>
      </c>
      <c r="E40" s="230"/>
      <c r="F40" s="180">
        <v>80986.645999999993</v>
      </c>
      <c r="G40" s="180">
        <v>3651834.1170000001</v>
      </c>
      <c r="H40" s="231">
        <v>4409.1805839199715</v>
      </c>
      <c r="K40" s="221"/>
    </row>
    <row r="41" spans="1:11" ht="12" customHeight="1">
      <c r="A41" s="178"/>
      <c r="B41" s="178"/>
      <c r="C41" s="178"/>
      <c r="D41" s="178" t="s">
        <v>94</v>
      </c>
      <c r="E41" s="230"/>
      <c r="F41" s="180">
        <v>811547858.49199998</v>
      </c>
      <c r="G41" s="180">
        <v>2494456145.2459998</v>
      </c>
      <c r="H41" s="231">
        <v>207.37018392003921</v>
      </c>
      <c r="K41" s="221"/>
    </row>
    <row r="42" spans="1:11" ht="12" customHeight="1">
      <c r="A42" s="178"/>
      <c r="B42" s="178"/>
      <c r="C42" s="178"/>
      <c r="D42" s="178" t="s">
        <v>95</v>
      </c>
      <c r="E42" s="230"/>
      <c r="F42" s="180">
        <v>21565958.658</v>
      </c>
      <c r="G42" s="180">
        <v>70386610.410999998</v>
      </c>
      <c r="H42" s="231">
        <v>226.37830539886403</v>
      </c>
      <c r="K42" s="221"/>
    </row>
    <row r="43" spans="1:11" ht="4.5" customHeight="1">
      <c r="A43" s="187"/>
      <c r="B43" s="187"/>
      <c r="C43" s="187"/>
      <c r="D43" s="187"/>
      <c r="E43" s="230"/>
      <c r="F43" s="180"/>
      <c r="G43" s="180"/>
      <c r="H43" s="231"/>
      <c r="K43" s="221"/>
    </row>
    <row r="44" spans="1:11">
      <c r="A44" s="187"/>
      <c r="B44" s="187"/>
      <c r="C44" s="187"/>
      <c r="D44" s="187"/>
      <c r="E44" s="230"/>
      <c r="F44" s="180"/>
      <c r="G44" s="180"/>
      <c r="H44" s="231"/>
      <c r="K44" s="221"/>
    </row>
    <row r="45" spans="1:11" ht="12" customHeight="1">
      <c r="A45" s="172"/>
      <c r="B45" s="172" t="s">
        <v>15</v>
      </c>
      <c r="C45" s="172"/>
      <c r="D45" s="172"/>
      <c r="E45" s="219"/>
      <c r="F45" s="173">
        <v>765709353.54900002</v>
      </c>
      <c r="G45" s="173">
        <v>775430575.09500003</v>
      </c>
      <c r="H45" s="222">
        <v>1.2695706929715556</v>
      </c>
      <c r="K45" s="221"/>
    </row>
    <row r="46" spans="1:11" ht="4.5" customHeight="1">
      <c r="A46" s="187"/>
      <c r="B46" s="187"/>
      <c r="C46" s="187"/>
      <c r="D46" s="187"/>
      <c r="E46" s="187"/>
      <c r="F46" s="185"/>
      <c r="G46" s="180"/>
      <c r="H46" s="211"/>
      <c r="K46" s="221"/>
    </row>
    <row r="47" spans="1:11">
      <c r="A47" s="187"/>
      <c r="B47" s="187"/>
      <c r="C47" s="187"/>
      <c r="D47" s="187"/>
      <c r="E47" s="187"/>
      <c r="F47" s="185"/>
      <c r="G47" s="180"/>
      <c r="H47" s="211"/>
      <c r="K47" s="221"/>
    </row>
    <row r="48" spans="1:11" ht="12" customHeight="1">
      <c r="A48" s="172"/>
      <c r="B48" s="172" t="s">
        <v>16</v>
      </c>
      <c r="C48" s="172"/>
      <c r="D48" s="172"/>
      <c r="E48" s="219"/>
      <c r="F48" s="173">
        <v>552716518.00001359</v>
      </c>
      <c r="G48" s="173">
        <v>533890213.40395367</v>
      </c>
      <c r="H48" s="222">
        <v>-3.4061411198967328</v>
      </c>
      <c r="K48" s="221"/>
    </row>
    <row r="49" spans="1:11" ht="12" customHeight="1">
      <c r="A49" s="178"/>
      <c r="B49" s="178"/>
      <c r="C49" s="178" t="s">
        <v>96</v>
      </c>
      <c r="D49" s="178"/>
      <c r="E49" s="230"/>
      <c r="F49" s="180">
        <v>89295.719013600014</v>
      </c>
      <c r="G49" s="180">
        <v>162207.30595360001</v>
      </c>
      <c r="H49" s="231">
        <v>81.651828044405278</v>
      </c>
      <c r="K49" s="221"/>
    </row>
    <row r="50" spans="1:11" ht="12" customHeight="1">
      <c r="A50" s="178"/>
      <c r="B50" s="178"/>
      <c r="C50" s="178" t="s">
        <v>97</v>
      </c>
      <c r="D50" s="178"/>
      <c r="E50" s="230"/>
      <c r="F50" s="180">
        <v>591744775.41900003</v>
      </c>
      <c r="G50" s="180">
        <v>555669938.67299998</v>
      </c>
      <c r="H50" s="231">
        <v>-6.0963506978927384</v>
      </c>
      <c r="K50" s="221"/>
    </row>
    <row r="51" spans="1:11" ht="12" customHeight="1">
      <c r="A51" s="178"/>
      <c r="B51" s="178"/>
      <c r="C51" s="178" t="s">
        <v>33</v>
      </c>
      <c r="D51" s="178"/>
      <c r="E51" s="230"/>
      <c r="F51" s="180">
        <v>12476352.755999999</v>
      </c>
      <c r="G51" s="180">
        <v>23120602.291999999</v>
      </c>
      <c r="H51" s="231">
        <v>85.315394203494904</v>
      </c>
      <c r="K51" s="221"/>
    </row>
    <row r="52" spans="1:11" ht="12" customHeight="1">
      <c r="A52" s="178"/>
      <c r="B52" s="178"/>
      <c r="C52" s="178" t="s">
        <v>98</v>
      </c>
      <c r="D52" s="178"/>
      <c r="E52" s="230"/>
      <c r="F52" s="180">
        <v>-51593905.894000001</v>
      </c>
      <c r="G52" s="180">
        <v>-45062534.866999999</v>
      </c>
      <c r="H52" s="231">
        <v>-12.659190875020677</v>
      </c>
      <c r="K52" s="221"/>
    </row>
    <row r="53" spans="1:11" ht="4.5" customHeight="1">
      <c r="A53" s="187"/>
      <c r="B53" s="187"/>
      <c r="C53" s="187"/>
      <c r="D53" s="187"/>
      <c r="E53" s="230"/>
      <c r="F53" s="180"/>
      <c r="G53" s="180"/>
      <c r="H53" s="231"/>
      <c r="K53" s="221"/>
    </row>
    <row r="54" spans="1:11">
      <c r="A54" s="187"/>
      <c r="B54" s="187"/>
      <c r="C54" s="187"/>
      <c r="D54" s="187"/>
      <c r="E54" s="230"/>
      <c r="F54" s="180"/>
      <c r="G54" s="180"/>
      <c r="H54" s="231"/>
      <c r="K54" s="221"/>
    </row>
    <row r="55" spans="1:11">
      <c r="A55" s="187"/>
      <c r="B55" s="187"/>
      <c r="C55" s="187"/>
      <c r="D55" s="187"/>
      <c r="E55" s="230"/>
      <c r="F55" s="180"/>
      <c r="G55" s="180"/>
      <c r="H55" s="231"/>
      <c r="K55" s="221"/>
    </row>
    <row r="56" spans="1:11">
      <c r="A56" s="187"/>
      <c r="B56" s="187"/>
      <c r="C56" s="187"/>
      <c r="D56" s="187"/>
      <c r="E56" s="230"/>
      <c r="F56" s="180"/>
      <c r="G56" s="180"/>
      <c r="H56" s="231"/>
      <c r="K56" s="221"/>
    </row>
    <row r="57" spans="1:11">
      <c r="A57" s="187"/>
      <c r="B57" s="187"/>
      <c r="C57" s="187"/>
      <c r="D57" s="187"/>
      <c r="E57" s="230"/>
      <c r="F57" s="180"/>
      <c r="G57" s="180"/>
      <c r="H57" s="231"/>
      <c r="K57" s="221"/>
    </row>
    <row r="58" spans="1:11">
      <c r="A58" s="187"/>
      <c r="B58" s="187"/>
      <c r="C58" s="187"/>
      <c r="D58" s="187"/>
      <c r="E58" s="230"/>
      <c r="F58" s="180"/>
      <c r="G58" s="180"/>
      <c r="H58" s="231"/>
      <c r="K58" s="221"/>
    </row>
    <row r="59" spans="1:11">
      <c r="A59" s="187"/>
      <c r="B59" s="187"/>
      <c r="C59" s="187"/>
      <c r="D59" s="187"/>
      <c r="E59" s="230"/>
      <c r="F59" s="180"/>
      <c r="G59" s="180"/>
      <c r="H59" s="231"/>
      <c r="K59" s="221"/>
    </row>
    <row r="60" spans="1:11">
      <c r="A60" s="187"/>
      <c r="B60" s="187"/>
      <c r="C60" s="187"/>
      <c r="D60" s="187"/>
      <c r="E60" s="230"/>
      <c r="F60" s="180"/>
      <c r="G60" s="180"/>
      <c r="H60" s="231"/>
      <c r="K60" s="221"/>
    </row>
    <row r="61" spans="1:11">
      <c r="A61" s="187"/>
      <c r="B61" s="187"/>
      <c r="C61" s="187"/>
      <c r="D61" s="187"/>
      <c r="E61" s="230"/>
      <c r="F61" s="180"/>
      <c r="G61" s="180"/>
      <c r="H61" s="231"/>
      <c r="K61" s="221"/>
    </row>
    <row r="62" spans="1:11">
      <c r="A62" s="187"/>
      <c r="B62" s="187"/>
      <c r="C62" s="187"/>
      <c r="D62" s="187"/>
      <c r="E62" s="230"/>
      <c r="F62" s="180"/>
      <c r="G62" s="180"/>
      <c r="H62" s="231"/>
      <c r="K62" s="221"/>
    </row>
    <row r="63" spans="1:11">
      <c r="A63" s="187"/>
      <c r="B63" s="187"/>
      <c r="C63" s="187"/>
      <c r="D63" s="187"/>
      <c r="E63" s="230"/>
      <c r="F63" s="180"/>
      <c r="G63" s="180"/>
      <c r="H63" s="231"/>
      <c r="K63" s="221"/>
    </row>
    <row r="64" spans="1:11">
      <c r="A64" s="187"/>
      <c r="B64" s="187"/>
      <c r="C64" s="187"/>
      <c r="D64" s="187"/>
      <c r="E64" s="230"/>
      <c r="F64" s="180"/>
      <c r="G64" s="180"/>
      <c r="H64" s="231"/>
      <c r="K64" s="221"/>
    </row>
    <row r="65" spans="1:11" ht="25.5">
      <c r="A65" s="187"/>
      <c r="B65" s="213" t="s">
        <v>71</v>
      </c>
      <c r="C65" s="214"/>
      <c r="D65" s="214"/>
      <c r="E65" s="214"/>
      <c r="F65" s="215" t="s">
        <v>72</v>
      </c>
      <c r="G65" s="215" t="s">
        <v>73</v>
      </c>
      <c r="H65" s="216" t="s">
        <v>74</v>
      </c>
      <c r="K65" s="221"/>
    </row>
    <row r="66" spans="1:11" ht="5.25" customHeight="1">
      <c r="A66" s="187"/>
      <c r="B66" s="187"/>
      <c r="C66" s="187"/>
      <c r="D66" s="187"/>
      <c r="E66" s="230"/>
      <c r="F66" s="180"/>
      <c r="G66" s="180"/>
      <c r="H66" s="231"/>
      <c r="K66" s="221"/>
    </row>
    <row r="67" spans="1:11" ht="12" customHeight="1">
      <c r="A67" s="172"/>
      <c r="B67" s="172" t="s">
        <v>18</v>
      </c>
      <c r="C67" s="172"/>
      <c r="D67" s="172"/>
      <c r="E67" s="219"/>
      <c r="F67" s="173">
        <v>1122511291.0190001</v>
      </c>
      <c r="G67" s="173">
        <v>1155303644.431</v>
      </c>
      <c r="H67" s="222">
        <v>2.921338402060214</v>
      </c>
      <c r="K67" s="221"/>
    </row>
    <row r="68" spans="1:11" ht="12" customHeight="1">
      <c r="A68" s="178"/>
      <c r="B68" s="178"/>
      <c r="C68" s="178" t="s">
        <v>99</v>
      </c>
      <c r="D68" s="178"/>
      <c r="E68" s="230"/>
      <c r="F68" s="180">
        <v>310125242.685</v>
      </c>
      <c r="G68" s="180">
        <v>59879079.270000003</v>
      </c>
      <c r="H68" s="231">
        <v>-80.691968589341727</v>
      </c>
      <c r="K68" s="221"/>
    </row>
    <row r="69" spans="1:11" ht="12" customHeight="1">
      <c r="A69" s="178"/>
      <c r="B69" s="178"/>
      <c r="C69" s="178" t="s">
        <v>100</v>
      </c>
      <c r="D69" s="178"/>
      <c r="E69" s="230"/>
      <c r="F69" s="180">
        <v>65122437.261</v>
      </c>
      <c r="G69" s="180">
        <v>116211997.00300001</v>
      </c>
      <c r="H69" s="231">
        <v>78.451547409445794</v>
      </c>
      <c r="K69" s="221"/>
    </row>
    <row r="70" spans="1:11" ht="12" customHeight="1">
      <c r="A70" s="178"/>
      <c r="B70" s="178"/>
      <c r="C70" s="178" t="s">
        <v>101</v>
      </c>
      <c r="D70" s="178"/>
      <c r="E70" s="230"/>
      <c r="F70" s="180">
        <v>140823221.79899999</v>
      </c>
      <c r="G70" s="180">
        <v>151025988.611</v>
      </c>
      <c r="H70" s="231">
        <v>7.2450883324929327</v>
      </c>
      <c r="K70" s="221"/>
    </row>
    <row r="71" spans="1:11" ht="12" customHeight="1">
      <c r="A71" s="178"/>
      <c r="B71" s="178"/>
      <c r="C71" s="178" t="s">
        <v>33</v>
      </c>
      <c r="D71" s="178"/>
      <c r="E71" s="230"/>
      <c r="F71" s="180">
        <v>606440389.27400005</v>
      </c>
      <c r="G71" s="180">
        <v>828186579.54700005</v>
      </c>
      <c r="H71" s="231">
        <v>36.565208088871429</v>
      </c>
      <c r="K71" s="221"/>
    </row>
    <row r="72" spans="1:11" ht="5.25" customHeight="1">
      <c r="A72" s="187"/>
      <c r="B72" s="187"/>
      <c r="C72" s="187"/>
      <c r="D72" s="187"/>
      <c r="E72" s="230"/>
      <c r="F72" s="180"/>
      <c r="G72" s="180"/>
      <c r="H72" s="231"/>
      <c r="K72" s="221"/>
    </row>
    <row r="73" spans="1:11">
      <c r="A73" s="187"/>
      <c r="B73" s="187"/>
      <c r="C73" s="187"/>
      <c r="D73" s="187"/>
      <c r="E73" s="230"/>
      <c r="F73" s="180"/>
      <c r="G73" s="180"/>
      <c r="H73" s="231"/>
      <c r="K73" s="221"/>
    </row>
    <row r="74" spans="1:11" ht="12" customHeight="1">
      <c r="A74" s="172"/>
      <c r="B74" s="172" t="s">
        <v>20</v>
      </c>
      <c r="C74" s="172"/>
      <c r="D74" s="172"/>
      <c r="E74" s="219"/>
      <c r="F74" s="173">
        <v>470828881.77762842</v>
      </c>
      <c r="G74" s="173">
        <v>488161981.35840648</v>
      </c>
      <c r="H74" s="222">
        <v>3.6814010889341331</v>
      </c>
      <c r="K74" s="221"/>
    </row>
    <row r="75" spans="1:11" ht="12" customHeight="1">
      <c r="A75" s="178"/>
      <c r="B75" s="178"/>
      <c r="C75" s="178" t="s">
        <v>102</v>
      </c>
      <c r="D75" s="178"/>
      <c r="E75" s="230"/>
      <c r="F75" s="180">
        <v>216512158.014</v>
      </c>
      <c r="G75" s="180">
        <v>72696565.084000006</v>
      </c>
      <c r="H75" s="231">
        <v>-66.423795434481164</v>
      </c>
      <c r="K75" s="221"/>
    </row>
    <row r="76" spans="1:11" ht="12" customHeight="1">
      <c r="A76" s="178"/>
      <c r="B76" s="178"/>
      <c r="C76" s="178" t="s">
        <v>103</v>
      </c>
      <c r="D76" s="178"/>
      <c r="E76" s="230"/>
      <c r="F76" s="180">
        <v>254316723.76362839</v>
      </c>
      <c r="G76" s="180">
        <v>415465416.27440649</v>
      </c>
      <c r="H76" s="231">
        <v>63.365354085229498</v>
      </c>
      <c r="K76" s="221"/>
    </row>
    <row r="77" spans="1:11" ht="4.5" customHeight="1">
      <c r="A77" s="187"/>
      <c r="B77" s="187"/>
      <c r="C77" s="187"/>
      <c r="D77" s="187"/>
      <c r="E77" s="230"/>
      <c r="F77" s="180"/>
      <c r="G77" s="180"/>
      <c r="H77" s="231"/>
      <c r="K77" s="221"/>
    </row>
    <row r="78" spans="1:11">
      <c r="A78" s="187"/>
      <c r="B78" s="187"/>
      <c r="C78" s="187"/>
      <c r="D78" s="187"/>
      <c r="E78" s="230"/>
      <c r="F78" s="180"/>
      <c r="G78" s="180"/>
      <c r="H78" s="231"/>
      <c r="K78" s="221"/>
    </row>
    <row r="79" spans="1:11" ht="12" customHeight="1">
      <c r="A79" s="172"/>
      <c r="B79" s="172" t="s">
        <v>22</v>
      </c>
      <c r="C79" s="172"/>
      <c r="D79" s="172"/>
      <c r="E79" s="219"/>
      <c r="F79" s="173">
        <v>114502897.28737046</v>
      </c>
      <c r="G79" s="173">
        <v>-2747137972.2375154</v>
      </c>
      <c r="H79" s="222">
        <v>-2499.1864287442113</v>
      </c>
      <c r="K79" s="221"/>
    </row>
    <row r="80" spans="1:11" ht="12" customHeight="1">
      <c r="A80" s="178"/>
      <c r="B80" s="178"/>
      <c r="C80" s="178" t="s">
        <v>9</v>
      </c>
      <c r="D80" s="178"/>
      <c r="E80" s="230"/>
      <c r="F80" s="180">
        <v>-733943805.68473721</v>
      </c>
      <c r="G80" s="180">
        <v>-1399083474.5995038</v>
      </c>
      <c r="H80" s="231">
        <v>90.625421696177483</v>
      </c>
      <c r="K80" s="221"/>
    </row>
    <row r="81" spans="1:11" ht="12" customHeight="1">
      <c r="A81" s="178"/>
      <c r="B81" s="178"/>
      <c r="C81" s="178"/>
      <c r="D81" s="178" t="s">
        <v>104</v>
      </c>
      <c r="E81" s="230"/>
      <c r="F81" s="180">
        <v>15952861157.851635</v>
      </c>
      <c r="G81" s="180">
        <v>16568445932.652721</v>
      </c>
      <c r="H81" s="231">
        <v>3.8587734746134306</v>
      </c>
      <c r="K81" s="221"/>
    </row>
    <row r="82" spans="1:11" ht="12" customHeight="1">
      <c r="A82" s="178"/>
      <c r="B82" s="178"/>
      <c r="C82" s="178"/>
      <c r="D82" s="178" t="s">
        <v>105</v>
      </c>
      <c r="E82" s="230"/>
      <c r="F82" s="180">
        <v>-17047604464.109003</v>
      </c>
      <c r="G82" s="180">
        <v>-18664221163.29332</v>
      </c>
      <c r="H82" s="231">
        <v>9.4829552303835172</v>
      </c>
      <c r="K82" s="221"/>
    </row>
    <row r="83" spans="1:11" ht="12" customHeight="1">
      <c r="A83" s="178"/>
      <c r="B83" s="178"/>
      <c r="C83" s="178"/>
      <c r="D83" s="178" t="s">
        <v>106</v>
      </c>
      <c r="E83" s="230"/>
      <c r="F83" s="180">
        <v>4711056624.2068205</v>
      </c>
      <c r="G83" s="180">
        <v>6934558253.4981441</v>
      </c>
      <c r="H83" s="231">
        <v>47.197514414628472</v>
      </c>
      <c r="K83" s="221"/>
    </row>
    <row r="84" spans="1:11" ht="12" customHeight="1">
      <c r="A84" s="178"/>
      <c r="B84" s="178"/>
      <c r="C84" s="178"/>
      <c r="D84" s="178" t="s">
        <v>107</v>
      </c>
      <c r="E84" s="230"/>
      <c r="F84" s="180">
        <v>-4399364840.5484762</v>
      </c>
      <c r="G84" s="180">
        <v>-6296055971.1541252</v>
      </c>
      <c r="H84" s="231">
        <v>43.112840133740434</v>
      </c>
      <c r="K84" s="221"/>
    </row>
    <row r="85" spans="1:11" ht="12" customHeight="1">
      <c r="A85" s="178"/>
      <c r="B85" s="178"/>
      <c r="C85" s="178"/>
      <c r="D85" s="178" t="s">
        <v>108</v>
      </c>
      <c r="E85" s="230"/>
      <c r="F85" s="180">
        <v>49107716.914286599</v>
      </c>
      <c r="G85" s="180">
        <v>58189473.697075598</v>
      </c>
      <c r="H85" s="231">
        <v>18.493543079268871</v>
      </c>
      <c r="K85" s="221"/>
    </row>
    <row r="86" spans="1:11" ht="4.5" customHeight="1">
      <c r="A86" s="187"/>
      <c r="B86" s="187"/>
      <c r="C86" s="187"/>
      <c r="D86" s="187"/>
      <c r="E86" s="230"/>
      <c r="F86" s="180"/>
      <c r="G86" s="180"/>
      <c r="H86" s="231"/>
      <c r="K86" s="221"/>
    </row>
    <row r="87" spans="1:11" ht="12" customHeight="1">
      <c r="A87" s="178"/>
      <c r="B87" s="178"/>
      <c r="C87" s="178" t="s">
        <v>85</v>
      </c>
      <c r="D87" s="178"/>
      <c r="E87" s="230"/>
      <c r="F87" s="180">
        <v>2038598611.3749974</v>
      </c>
      <c r="G87" s="180">
        <v>1654439476.7981949</v>
      </c>
      <c r="H87" s="231">
        <v>-18.844275299378044</v>
      </c>
      <c r="K87" s="221"/>
    </row>
    <row r="88" spans="1:11" ht="12" customHeight="1">
      <c r="A88" s="178"/>
      <c r="B88" s="178"/>
      <c r="C88" s="178"/>
      <c r="D88" s="178" t="s">
        <v>109</v>
      </c>
      <c r="E88" s="230"/>
      <c r="F88" s="180">
        <v>105952828994.157</v>
      </c>
      <c r="G88" s="180">
        <v>131062711733.897</v>
      </c>
      <c r="H88" s="231">
        <v>23.699114953433419</v>
      </c>
      <c r="K88" s="221"/>
    </row>
    <row r="89" spans="1:11" ht="12" customHeight="1">
      <c r="A89" s="178"/>
      <c r="B89" s="178"/>
      <c r="C89" s="178"/>
      <c r="D89" s="178" t="s">
        <v>110</v>
      </c>
      <c r="E89" s="230"/>
      <c r="F89" s="180">
        <v>-93067782966.401001</v>
      </c>
      <c r="G89" s="180">
        <v>-116004632858.76401</v>
      </c>
      <c r="H89" s="231">
        <v>24.645316737203871</v>
      </c>
      <c r="K89" s="221"/>
    </row>
    <row r="90" spans="1:11" ht="12" customHeight="1">
      <c r="A90" s="178"/>
      <c r="B90" s="178"/>
      <c r="C90" s="178"/>
      <c r="D90" s="178" t="s">
        <v>111</v>
      </c>
      <c r="E90" s="230"/>
      <c r="F90" s="180">
        <v>-10865842903.521999</v>
      </c>
      <c r="G90" s="180">
        <v>-13857539267.622801</v>
      </c>
      <c r="H90" s="231">
        <v>27.53303531685598</v>
      </c>
      <c r="K90" s="221"/>
    </row>
    <row r="91" spans="1:11" ht="12" customHeight="1">
      <c r="A91" s="178"/>
      <c r="B91" s="178"/>
      <c r="C91" s="178"/>
      <c r="D91" s="178" t="s">
        <v>108</v>
      </c>
      <c r="E91" s="230"/>
      <c r="F91" s="180">
        <v>19395487.140999999</v>
      </c>
      <c r="G91" s="180">
        <v>453899869.28799999</v>
      </c>
      <c r="H91" s="231">
        <v>2240.2344369505622</v>
      </c>
      <c r="K91" s="221"/>
    </row>
    <row r="92" spans="1:11" ht="4.5" customHeight="1">
      <c r="A92" s="187"/>
      <c r="B92" s="187"/>
      <c r="C92" s="187"/>
      <c r="D92" s="187"/>
      <c r="E92" s="230"/>
      <c r="F92" s="180"/>
      <c r="G92" s="180"/>
      <c r="H92" s="231"/>
      <c r="K92" s="221"/>
    </row>
    <row r="93" spans="1:11" ht="12" customHeight="1">
      <c r="A93" s="178"/>
      <c r="B93" s="178"/>
      <c r="C93" s="178" t="s">
        <v>112</v>
      </c>
      <c r="D93" s="178"/>
      <c r="E93" s="230"/>
      <c r="F93" s="180">
        <v>-40012976.932973698</v>
      </c>
      <c r="G93" s="180">
        <v>-56871115.517849602</v>
      </c>
      <c r="H93" s="231">
        <v>42.131677963164819</v>
      </c>
      <c r="K93" s="221"/>
    </row>
    <row r="94" spans="1:11" ht="12" customHeight="1">
      <c r="A94" s="178"/>
      <c r="B94" s="178"/>
      <c r="C94" s="178"/>
      <c r="D94" s="178" t="s">
        <v>113</v>
      </c>
      <c r="E94" s="230"/>
      <c r="F94" s="180">
        <v>-1154133.1370000001</v>
      </c>
      <c r="G94" s="180">
        <v>-234297.16</v>
      </c>
      <c r="H94" s="231">
        <v>-79.699295298892366</v>
      </c>
      <c r="K94" s="221"/>
    </row>
    <row r="95" spans="1:11" ht="12" customHeight="1">
      <c r="A95" s="178"/>
      <c r="B95" s="178"/>
      <c r="C95" s="178"/>
      <c r="D95" s="178" t="s">
        <v>114</v>
      </c>
      <c r="E95" s="230"/>
      <c r="F95" s="180">
        <v>-38858843.795973696</v>
      </c>
      <c r="G95" s="180">
        <v>-56636818.357849605</v>
      </c>
      <c r="H95" s="231">
        <v>45.750137742693077</v>
      </c>
      <c r="K95" s="221"/>
    </row>
    <row r="96" spans="1:11" ht="3.75" customHeight="1">
      <c r="A96" s="187"/>
      <c r="B96" s="187"/>
      <c r="C96" s="187"/>
      <c r="D96" s="187"/>
      <c r="E96" s="230"/>
      <c r="F96" s="180"/>
      <c r="G96" s="180"/>
      <c r="H96" s="231"/>
      <c r="K96" s="221"/>
    </row>
    <row r="97" spans="1:11" ht="12" customHeight="1">
      <c r="A97" s="178"/>
      <c r="B97" s="178"/>
      <c r="C97" s="178" t="s">
        <v>115</v>
      </c>
      <c r="D97" s="178"/>
      <c r="E97" s="230"/>
      <c r="F97" s="180">
        <v>-901270542.64392805</v>
      </c>
      <c r="G97" s="180">
        <v>-2267947433.2479081</v>
      </c>
      <c r="H97" s="231">
        <v>151.63891705533348</v>
      </c>
      <c r="K97" s="221"/>
    </row>
    <row r="98" spans="1:11" ht="12" customHeight="1">
      <c r="A98" s="178"/>
      <c r="B98" s="178"/>
      <c r="C98" s="178"/>
      <c r="D98" s="178" t="s">
        <v>116</v>
      </c>
      <c r="E98" s="230"/>
      <c r="F98" s="180">
        <v>-1628951301.6469281</v>
      </c>
      <c r="G98" s="180">
        <v>-3641006481.5684576</v>
      </c>
      <c r="H98" s="231">
        <v>123.51843654793547</v>
      </c>
      <c r="K98" s="221"/>
    </row>
    <row r="99" spans="1:11" ht="12" customHeight="1">
      <c r="A99" s="178"/>
      <c r="B99" s="178"/>
      <c r="C99" s="178"/>
      <c r="D99" s="178" t="s">
        <v>117</v>
      </c>
      <c r="E99" s="230"/>
      <c r="F99" s="180">
        <v>586444116.69799995</v>
      </c>
      <c r="G99" s="180">
        <v>1236654865.9675493</v>
      </c>
      <c r="H99" s="231">
        <v>110.87343717089198</v>
      </c>
      <c r="K99" s="221"/>
    </row>
    <row r="100" spans="1:11" ht="12" customHeight="1">
      <c r="A100" s="178"/>
      <c r="B100" s="178"/>
      <c r="C100" s="178"/>
      <c r="D100" s="178" t="s">
        <v>118</v>
      </c>
      <c r="E100" s="230"/>
      <c r="F100" s="180">
        <v>141236642.30500001</v>
      </c>
      <c r="G100" s="180">
        <v>136404182.35299999</v>
      </c>
      <c r="H100" s="231">
        <v>-3.4215341522806364</v>
      </c>
      <c r="K100" s="221"/>
    </row>
    <row r="101" spans="1:11" ht="4.5" customHeight="1">
      <c r="A101" s="187"/>
      <c r="B101" s="187"/>
      <c r="C101" s="187"/>
      <c r="D101" s="187"/>
      <c r="E101" s="230"/>
      <c r="F101" s="180"/>
      <c r="G101" s="180"/>
      <c r="H101" s="231"/>
      <c r="K101" s="221"/>
    </row>
    <row r="102" spans="1:11" ht="12" customHeight="1">
      <c r="A102" s="178"/>
      <c r="B102" s="178"/>
      <c r="C102" s="178" t="s">
        <v>119</v>
      </c>
      <c r="D102" s="178"/>
      <c r="E102" s="230"/>
      <c r="F102" s="180">
        <v>146873497.88119018</v>
      </c>
      <c r="G102" s="180">
        <v>35882910.052551195</v>
      </c>
      <c r="H102" s="231">
        <v>-75.568832655175257</v>
      </c>
      <c r="K102" s="221"/>
    </row>
    <row r="103" spans="1:11" ht="4.5" customHeight="1">
      <c r="A103" s="178"/>
      <c r="B103" s="178"/>
      <c r="C103" s="178"/>
      <c r="D103" s="178"/>
      <c r="E103" s="178"/>
      <c r="F103" s="180"/>
      <c r="G103" s="180"/>
      <c r="H103" s="231"/>
      <c r="K103" s="221"/>
    </row>
    <row r="104" spans="1:11" ht="12" customHeight="1">
      <c r="A104" s="178"/>
      <c r="B104" s="178"/>
      <c r="C104" s="178" t="s">
        <v>120</v>
      </c>
      <c r="D104" s="178"/>
      <c r="E104" s="230"/>
      <c r="F104" s="180">
        <v>-441184356.07800001</v>
      </c>
      <c r="G104" s="180">
        <v>-406512203.70599997</v>
      </c>
      <c r="H104" s="231">
        <v>-7.8588807364398328</v>
      </c>
      <c r="K104" s="221"/>
    </row>
    <row r="105" spans="1:11" ht="3.75" customHeight="1">
      <c r="A105" s="178"/>
      <c r="B105" s="178"/>
      <c r="C105" s="178"/>
      <c r="D105" s="178"/>
      <c r="E105" s="178"/>
      <c r="F105" s="180"/>
      <c r="G105" s="180"/>
      <c r="H105" s="231"/>
      <c r="K105" s="221"/>
    </row>
    <row r="106" spans="1:11" ht="12" customHeight="1">
      <c r="A106" s="178"/>
      <c r="B106" s="178"/>
      <c r="C106" s="178" t="s">
        <v>121</v>
      </c>
      <c r="D106" s="178"/>
      <c r="E106" s="230"/>
      <c r="F106" s="180">
        <v>-16276466.115</v>
      </c>
      <c r="G106" s="180">
        <v>-14393867.148</v>
      </c>
      <c r="H106" s="231">
        <v>-11.566386423801433</v>
      </c>
      <c r="K106" s="221"/>
    </row>
    <row r="107" spans="1:11" ht="4.5" customHeight="1">
      <c r="A107" s="178"/>
      <c r="B107" s="178"/>
      <c r="C107" s="178"/>
      <c r="D107" s="178"/>
      <c r="E107" s="178"/>
      <c r="F107" s="180"/>
      <c r="G107" s="180"/>
      <c r="H107" s="231"/>
      <c r="K107" s="221"/>
    </row>
    <row r="108" spans="1:11" ht="12" customHeight="1">
      <c r="A108" s="178"/>
      <c r="B108" s="178"/>
      <c r="C108" s="178" t="s">
        <v>122</v>
      </c>
      <c r="D108" s="178"/>
      <c r="E108" s="230"/>
      <c r="F108" s="180">
        <v>-5036706.4529999997</v>
      </c>
      <c r="G108" s="180">
        <v>-12309191.537</v>
      </c>
      <c r="H108" s="231">
        <v>144.38969496958296</v>
      </c>
      <c r="K108" s="221"/>
    </row>
    <row r="109" spans="1:11" ht="4.5" customHeight="1">
      <c r="A109" s="178"/>
      <c r="B109" s="178"/>
      <c r="C109" s="178"/>
      <c r="D109" s="178"/>
      <c r="E109" s="230"/>
      <c r="F109" s="180"/>
      <c r="G109" s="180"/>
      <c r="H109" s="231"/>
      <c r="K109" s="221"/>
    </row>
    <row r="110" spans="1:11" ht="12" customHeight="1">
      <c r="A110" s="178"/>
      <c r="B110" s="178"/>
      <c r="C110" s="178" t="s">
        <v>123</v>
      </c>
      <c r="D110" s="178"/>
      <c r="E110" s="230"/>
      <c r="F110" s="180">
        <v>-5871092.7510000002</v>
      </c>
      <c r="G110" s="180">
        <v>-16589436.107999999</v>
      </c>
      <c r="H110" s="231">
        <v>182.56130181514138</v>
      </c>
      <c r="K110" s="221"/>
    </row>
    <row r="111" spans="1:11" ht="3.75" customHeight="1">
      <c r="A111" s="178"/>
      <c r="B111" s="178"/>
      <c r="C111" s="178"/>
      <c r="D111" s="178"/>
      <c r="E111" s="230"/>
      <c r="F111" s="180"/>
      <c r="G111" s="180"/>
      <c r="H111" s="231"/>
      <c r="K111" s="221"/>
    </row>
    <row r="112" spans="1:11" ht="12" customHeight="1">
      <c r="A112" s="178"/>
      <c r="B112" s="178"/>
      <c r="C112" s="178" t="s">
        <v>124</v>
      </c>
      <c r="D112" s="178"/>
      <c r="E112" s="230"/>
      <c r="F112" s="180">
        <v>-2666187.4989999998</v>
      </c>
      <c r="G112" s="180">
        <v>-1228468.223</v>
      </c>
      <c r="H112" s="231">
        <v>-53.92416236814708</v>
      </c>
      <c r="K112" s="221"/>
    </row>
    <row r="113" spans="1:11" ht="4.5" customHeight="1">
      <c r="A113" s="178"/>
      <c r="B113" s="178"/>
      <c r="C113" s="178"/>
      <c r="D113" s="178"/>
      <c r="E113" s="230"/>
      <c r="F113" s="180"/>
      <c r="G113" s="180"/>
      <c r="H113" s="231"/>
      <c r="K113" s="221"/>
    </row>
    <row r="114" spans="1:11" ht="12" customHeight="1">
      <c r="A114" s="178"/>
      <c r="B114" s="178"/>
      <c r="C114" s="178" t="s">
        <v>125</v>
      </c>
      <c r="D114" s="178"/>
      <c r="E114" s="230"/>
      <c r="F114" s="180">
        <v>0</v>
      </c>
      <c r="G114" s="180">
        <v>0</v>
      </c>
      <c r="H114" s="231">
        <v>0</v>
      </c>
      <c r="K114" s="221"/>
    </row>
    <row r="115" spans="1:11" ht="4.5" customHeight="1">
      <c r="A115" s="178"/>
      <c r="B115" s="178"/>
      <c r="C115" s="178"/>
      <c r="D115" s="178"/>
      <c r="E115" s="230"/>
      <c r="F115" s="180"/>
      <c r="G115" s="180"/>
      <c r="H115" s="231"/>
      <c r="K115" s="221"/>
    </row>
    <row r="116" spans="1:11" ht="12" customHeight="1">
      <c r="A116" s="178"/>
      <c r="B116" s="178"/>
      <c r="C116" s="178" t="s">
        <v>126</v>
      </c>
      <c r="D116" s="178"/>
      <c r="E116" s="230"/>
      <c r="F116" s="180">
        <v>75292922.188821793</v>
      </c>
      <c r="G116" s="180">
        <v>-262525169.0010004</v>
      </c>
      <c r="H116" s="231">
        <v>-448.67177600390124</v>
      </c>
      <c r="K116" s="221"/>
    </row>
    <row r="117" spans="1:11" ht="4.5" customHeight="1">
      <c r="A117" s="178"/>
      <c r="B117" s="178"/>
      <c r="C117" s="178"/>
      <c r="D117" s="178"/>
      <c r="E117" s="230"/>
      <c r="F117" s="180"/>
      <c r="G117" s="180"/>
      <c r="H117" s="231"/>
      <c r="K117" s="221"/>
    </row>
    <row r="118" spans="1:11">
      <c r="A118" s="178"/>
      <c r="B118" s="178"/>
      <c r="C118" s="178"/>
      <c r="D118" s="178"/>
      <c r="E118" s="230"/>
      <c r="F118" s="180"/>
      <c r="G118" s="180"/>
      <c r="H118" s="231"/>
      <c r="K118" s="221"/>
    </row>
    <row r="119" spans="1:11">
      <c r="A119" s="178"/>
      <c r="B119" s="178"/>
      <c r="C119" s="178"/>
      <c r="D119" s="178"/>
      <c r="E119" s="230"/>
      <c r="F119" s="180"/>
      <c r="G119" s="180"/>
      <c r="H119" s="231"/>
      <c r="K119" s="221"/>
    </row>
    <row r="120" spans="1:11">
      <c r="A120" s="178"/>
      <c r="B120" s="178"/>
      <c r="C120" s="178"/>
      <c r="D120" s="178"/>
      <c r="E120" s="230"/>
      <c r="F120" s="180"/>
      <c r="G120" s="180"/>
      <c r="H120" s="231"/>
      <c r="K120" s="221"/>
    </row>
    <row r="121" spans="1:11">
      <c r="A121" s="178"/>
      <c r="B121" s="178"/>
      <c r="C121" s="178"/>
      <c r="D121" s="178"/>
      <c r="E121" s="230"/>
      <c r="F121" s="180"/>
      <c r="G121" s="180"/>
      <c r="H121" s="231"/>
      <c r="K121" s="221"/>
    </row>
    <row r="122" spans="1:11">
      <c r="A122" s="178"/>
      <c r="B122" s="178"/>
      <c r="C122" s="178"/>
      <c r="D122" s="178"/>
      <c r="E122" s="230"/>
      <c r="F122" s="180"/>
      <c r="G122" s="180"/>
      <c r="H122" s="231"/>
      <c r="K122" s="221"/>
    </row>
    <row r="123" spans="1:11">
      <c r="A123" s="178"/>
      <c r="B123" s="178"/>
      <c r="C123" s="178"/>
      <c r="D123" s="178"/>
      <c r="E123" s="230"/>
      <c r="F123" s="180"/>
      <c r="G123" s="180"/>
      <c r="H123" s="231"/>
      <c r="K123" s="221"/>
    </row>
    <row r="124" spans="1:11">
      <c r="A124" s="178"/>
      <c r="B124" s="178"/>
      <c r="C124" s="178"/>
      <c r="D124" s="178"/>
      <c r="E124" s="230"/>
      <c r="F124" s="180"/>
      <c r="G124" s="180"/>
      <c r="H124" s="231"/>
      <c r="K124" s="221"/>
    </row>
    <row r="125" spans="1:11">
      <c r="A125" s="178"/>
      <c r="B125" s="178"/>
      <c r="C125" s="178"/>
      <c r="D125" s="178"/>
      <c r="E125" s="230"/>
      <c r="F125" s="180"/>
      <c r="G125" s="180"/>
      <c r="H125" s="231"/>
      <c r="K125" s="221"/>
    </row>
    <row r="126" spans="1:11">
      <c r="A126" s="178"/>
      <c r="B126" s="178"/>
      <c r="C126" s="178"/>
      <c r="D126" s="178"/>
      <c r="E126" s="230"/>
      <c r="F126" s="180"/>
      <c r="G126" s="180"/>
      <c r="H126" s="231"/>
      <c r="K126" s="221"/>
    </row>
    <row r="127" spans="1:11">
      <c r="A127" s="178"/>
      <c r="B127" s="178"/>
      <c r="C127" s="178"/>
      <c r="D127" s="178"/>
      <c r="E127" s="230"/>
      <c r="F127" s="180"/>
      <c r="G127" s="180"/>
      <c r="H127" s="231"/>
      <c r="K127" s="221"/>
    </row>
    <row r="128" spans="1:11">
      <c r="A128" s="178"/>
      <c r="B128" s="178"/>
      <c r="C128" s="178"/>
      <c r="D128" s="178"/>
      <c r="E128" s="230"/>
      <c r="F128" s="180"/>
      <c r="G128" s="180"/>
      <c r="H128" s="231"/>
      <c r="K128" s="221"/>
    </row>
    <row r="129" spans="1:11">
      <c r="A129" s="178"/>
      <c r="B129" s="178"/>
      <c r="C129" s="178"/>
      <c r="D129" s="178"/>
      <c r="E129" s="230"/>
      <c r="F129" s="180"/>
      <c r="G129" s="180"/>
      <c r="H129" s="231"/>
      <c r="K129" s="221"/>
    </row>
    <row r="130" spans="1:11" ht="25.5">
      <c r="A130" s="178"/>
      <c r="B130" s="213" t="s">
        <v>71</v>
      </c>
      <c r="C130" s="214"/>
      <c r="D130" s="214"/>
      <c r="E130" s="214"/>
      <c r="F130" s="215" t="s">
        <v>72</v>
      </c>
      <c r="G130" s="215" t="s">
        <v>73</v>
      </c>
      <c r="H130" s="216" t="s">
        <v>74</v>
      </c>
      <c r="K130" s="221"/>
    </row>
    <row r="131" spans="1:11" ht="6" customHeight="1">
      <c r="A131" s="178"/>
      <c r="B131" s="178"/>
      <c r="C131" s="178"/>
      <c r="D131" s="178"/>
      <c r="E131" s="230"/>
      <c r="F131" s="180"/>
      <c r="G131" s="180"/>
      <c r="H131" s="231"/>
      <c r="K131" s="221"/>
    </row>
    <row r="132" spans="1:11" ht="12" customHeight="1">
      <c r="A132" s="172"/>
      <c r="B132" s="172" t="s">
        <v>25</v>
      </c>
      <c r="C132" s="172"/>
      <c r="D132" s="172"/>
      <c r="E132" s="219"/>
      <c r="F132" s="173">
        <v>467625608.15751559</v>
      </c>
      <c r="G132" s="173">
        <v>3937001106.3254681</v>
      </c>
      <c r="H132" s="222">
        <v>741.9130684133371</v>
      </c>
      <c r="K132" s="221"/>
    </row>
    <row r="133" spans="1:11" ht="12" customHeight="1">
      <c r="A133" s="178"/>
      <c r="B133" s="178"/>
      <c r="C133" s="178" t="s">
        <v>127</v>
      </c>
      <c r="D133" s="178"/>
      <c r="E133" s="230"/>
      <c r="F133" s="180">
        <v>0</v>
      </c>
      <c r="G133" s="180">
        <v>337379.45299999998</v>
      </c>
      <c r="H133" s="231">
        <v>0</v>
      </c>
      <c r="K133" s="221"/>
    </row>
    <row r="134" spans="1:11" ht="12" customHeight="1">
      <c r="A134" s="178"/>
      <c r="B134" s="178"/>
      <c r="C134" s="178" t="s">
        <v>128</v>
      </c>
      <c r="D134" s="178"/>
      <c r="E134" s="230"/>
      <c r="F134" s="180">
        <v>467625608.15751559</v>
      </c>
      <c r="G134" s="180">
        <v>3936663726.872468</v>
      </c>
      <c r="H134" s="231">
        <v>741.84092107001072</v>
      </c>
      <c r="K134" s="221"/>
    </row>
    <row r="135" spans="1:11" ht="12" customHeight="1">
      <c r="A135" s="178"/>
      <c r="B135" s="178"/>
      <c r="C135" s="178" t="s">
        <v>129</v>
      </c>
      <c r="D135" s="178"/>
      <c r="E135" s="230"/>
      <c r="F135" s="180">
        <v>0</v>
      </c>
      <c r="G135" s="180">
        <v>0</v>
      </c>
      <c r="H135" s="231">
        <v>0</v>
      </c>
      <c r="K135" s="221"/>
    </row>
    <row r="136" spans="1:11" ht="3.75" customHeight="1">
      <c r="A136" s="187"/>
      <c r="B136" s="187"/>
      <c r="C136" s="187"/>
      <c r="D136" s="187"/>
      <c r="E136" s="230"/>
      <c r="F136" s="180">
        <v>0</v>
      </c>
      <c r="G136" s="180"/>
      <c r="H136" s="231"/>
      <c r="K136" s="221"/>
    </row>
    <row r="137" spans="1:11">
      <c r="A137" s="187"/>
      <c r="B137" s="187"/>
      <c r="C137" s="187"/>
      <c r="D137" s="187"/>
      <c r="E137" s="230"/>
      <c r="F137" s="180"/>
      <c r="G137" s="180"/>
      <c r="H137" s="231"/>
      <c r="K137" s="221"/>
    </row>
    <row r="138" spans="1:11" ht="12" customHeight="1">
      <c r="A138" s="172"/>
      <c r="B138" s="172" t="s">
        <v>26</v>
      </c>
      <c r="C138" s="172"/>
      <c r="D138" s="172"/>
      <c r="E138" s="219"/>
      <c r="F138" s="173">
        <v>980938295.29869246</v>
      </c>
      <c r="G138" s="173">
        <v>603381817.52552521</v>
      </c>
      <c r="H138" s="222">
        <v>-38.489319825994009</v>
      </c>
      <c r="K138" s="221"/>
    </row>
    <row r="139" spans="1:11" ht="12" customHeight="1">
      <c r="A139" s="178"/>
      <c r="B139" s="178"/>
      <c r="C139" s="178" t="s">
        <v>130</v>
      </c>
      <c r="D139" s="178"/>
      <c r="E139" s="230"/>
      <c r="F139" s="180">
        <v>11865.797</v>
      </c>
      <c r="G139" s="180">
        <v>98863.744000000006</v>
      </c>
      <c r="H139" s="231">
        <v>733.18249924552049</v>
      </c>
      <c r="K139" s="221"/>
    </row>
    <row r="140" spans="1:11" ht="12" customHeight="1">
      <c r="A140" s="178"/>
      <c r="B140" s="178"/>
      <c r="C140" s="178" t="s">
        <v>131</v>
      </c>
      <c r="D140" s="178"/>
      <c r="E140" s="230"/>
      <c r="F140" s="180">
        <v>438980871.43639457</v>
      </c>
      <c r="G140" s="180">
        <v>98406783.201479197</v>
      </c>
      <c r="H140" s="231">
        <v>-77.582899482731179</v>
      </c>
      <c r="K140" s="221"/>
    </row>
    <row r="141" spans="1:11" ht="12" customHeight="1">
      <c r="A141" s="178"/>
      <c r="B141" s="178"/>
      <c r="C141" s="178" t="s">
        <v>132</v>
      </c>
      <c r="D141" s="178"/>
      <c r="E141" s="230"/>
      <c r="F141" s="180">
        <v>425056149</v>
      </c>
      <c r="G141" s="180">
        <v>364343000</v>
      </c>
      <c r="H141" s="231">
        <v>-14.283559746832408</v>
      </c>
      <c r="K141" s="221"/>
    </row>
    <row r="142" spans="1:11" ht="12" customHeight="1">
      <c r="A142" s="178"/>
      <c r="B142" s="178"/>
      <c r="C142" s="178" t="s">
        <v>133</v>
      </c>
      <c r="D142" s="178"/>
      <c r="E142" s="230"/>
      <c r="F142" s="180">
        <v>116889409.0652979</v>
      </c>
      <c r="G142" s="180">
        <v>140533170.580046</v>
      </c>
      <c r="H142" s="231">
        <v>20.227462610868365</v>
      </c>
      <c r="K142" s="221"/>
    </row>
    <row r="143" spans="1:11" ht="4.5" customHeight="1">
      <c r="A143" s="187"/>
      <c r="B143" s="187"/>
      <c r="C143" s="187"/>
      <c r="D143" s="187"/>
      <c r="E143" s="230"/>
      <c r="F143" s="180"/>
      <c r="G143" s="180"/>
      <c r="H143" s="231"/>
      <c r="K143" s="221"/>
    </row>
    <row r="144" spans="1:11">
      <c r="A144" s="187"/>
      <c r="B144" s="187"/>
      <c r="C144" s="187"/>
      <c r="D144" s="187"/>
      <c r="E144" s="230"/>
      <c r="F144" s="180"/>
      <c r="G144" s="180"/>
      <c r="H144" s="231"/>
      <c r="K144" s="221"/>
    </row>
    <row r="145" spans="1:11" ht="12" customHeight="1">
      <c r="A145" s="172"/>
      <c r="B145" s="172" t="s">
        <v>27</v>
      </c>
      <c r="C145" s="172"/>
      <c r="D145" s="172"/>
      <c r="E145" s="219"/>
      <c r="F145" s="173">
        <v>34740648.872968897</v>
      </c>
      <c r="G145" s="173">
        <v>37349313.073100001</v>
      </c>
      <c r="H145" s="222">
        <v>7.5089679806207066</v>
      </c>
      <c r="K145" s="221"/>
    </row>
    <row r="146" spans="1:11" ht="12" customHeight="1">
      <c r="A146" s="178"/>
      <c r="B146" s="178"/>
      <c r="C146" s="178" t="s">
        <v>134</v>
      </c>
      <c r="D146" s="178"/>
      <c r="E146" s="230"/>
      <c r="F146" s="180">
        <v>31392845.366</v>
      </c>
      <c r="G146" s="180">
        <v>32251602.774</v>
      </c>
      <c r="H146" s="231">
        <v>2.7355195044858061</v>
      </c>
      <c r="K146" s="221"/>
    </row>
    <row r="147" spans="1:11" ht="12" customHeight="1">
      <c r="A147" s="178"/>
      <c r="B147" s="178"/>
      <c r="C147" s="178" t="s">
        <v>135</v>
      </c>
      <c r="D147" s="178"/>
      <c r="E147" s="230"/>
      <c r="F147" s="180">
        <v>3347803.5069689001</v>
      </c>
      <c r="G147" s="180">
        <v>5097710.2990999995</v>
      </c>
      <c r="H147" s="231">
        <v>52.270295687558566</v>
      </c>
      <c r="K147" s="221"/>
    </row>
    <row r="148" spans="1:11" ht="3" customHeight="1">
      <c r="A148" s="187"/>
      <c r="B148" s="187"/>
      <c r="C148" s="187"/>
      <c r="D148" s="187"/>
      <c r="E148" s="230"/>
      <c r="F148" s="180"/>
      <c r="G148" s="180"/>
      <c r="H148" s="231"/>
      <c r="K148" s="221"/>
    </row>
    <row r="149" spans="1:11">
      <c r="A149" s="187"/>
      <c r="B149" s="187"/>
      <c r="C149" s="187"/>
      <c r="D149" s="187"/>
      <c r="E149" s="230"/>
      <c r="F149" s="180"/>
      <c r="G149" s="180"/>
      <c r="H149" s="231"/>
      <c r="K149" s="221"/>
    </row>
    <row r="150" spans="1:11" ht="12" customHeight="1">
      <c r="A150" s="172"/>
      <c r="B150" s="172" t="s">
        <v>29</v>
      </c>
      <c r="C150" s="172"/>
      <c r="D150" s="172"/>
      <c r="E150" s="219"/>
      <c r="F150" s="173">
        <v>3048810327.5599174</v>
      </c>
      <c r="G150" s="173">
        <v>4290022689.8808527</v>
      </c>
      <c r="H150" s="222">
        <v>40.71136702407874</v>
      </c>
      <c r="K150" s="221"/>
    </row>
    <row r="151" spans="1:11" ht="12" customHeight="1">
      <c r="A151" s="178"/>
      <c r="B151" s="178"/>
      <c r="C151" s="178" t="s">
        <v>136</v>
      </c>
      <c r="D151" s="178"/>
      <c r="E151" s="230"/>
      <c r="F151" s="180">
        <v>141406174.43399999</v>
      </c>
      <c r="G151" s="180">
        <v>243889241.85600001</v>
      </c>
      <c r="H151" s="231">
        <v>72.474252154974337</v>
      </c>
      <c r="K151" s="221"/>
    </row>
    <row r="152" spans="1:11" ht="12" customHeight="1">
      <c r="A152" s="178"/>
      <c r="B152" s="178"/>
      <c r="C152" s="178" t="s">
        <v>33</v>
      </c>
      <c r="D152" s="178"/>
      <c r="E152" s="230"/>
      <c r="F152" s="180">
        <v>2907404153.1259174</v>
      </c>
      <c r="G152" s="180">
        <v>4046133448.0248528</v>
      </c>
      <c r="H152" s="231">
        <v>39.166529141626974</v>
      </c>
      <c r="K152" s="221"/>
    </row>
    <row r="153" spans="1:11" ht="12" customHeight="1">
      <c r="A153" s="178"/>
      <c r="B153" s="178"/>
      <c r="C153" s="178"/>
      <c r="D153" s="178" t="s">
        <v>137</v>
      </c>
      <c r="E153" s="230"/>
      <c r="F153" s="180">
        <v>310539082.49068642</v>
      </c>
      <c r="G153" s="180">
        <v>391875641.6752212</v>
      </c>
      <c r="H153" s="231">
        <v>26.192052392302088</v>
      </c>
      <c r="K153" s="221"/>
    </row>
    <row r="154" spans="1:11" ht="12" customHeight="1">
      <c r="A154" s="178"/>
      <c r="B154" s="178"/>
      <c r="C154" s="178"/>
      <c r="D154" s="178" t="s">
        <v>138</v>
      </c>
      <c r="E154" s="172"/>
      <c r="F154" s="180">
        <v>0</v>
      </c>
      <c r="G154" s="180">
        <v>0</v>
      </c>
      <c r="H154" s="231">
        <v>0</v>
      </c>
      <c r="K154" s="221"/>
    </row>
    <row r="155" spans="1:11" ht="12" customHeight="1">
      <c r="A155" s="178"/>
      <c r="B155" s="178"/>
      <c r="C155" s="178"/>
      <c r="D155" s="178" t="s">
        <v>39</v>
      </c>
      <c r="E155" s="172"/>
      <c r="F155" s="180">
        <v>0</v>
      </c>
      <c r="G155" s="180">
        <v>0</v>
      </c>
      <c r="H155" s="231">
        <v>0</v>
      </c>
      <c r="K155" s="221"/>
    </row>
    <row r="156" spans="1:11" ht="12" customHeight="1">
      <c r="A156" s="233"/>
      <c r="B156" s="233"/>
      <c r="C156" s="233"/>
      <c r="D156" s="233" t="s">
        <v>33</v>
      </c>
      <c r="E156" s="230"/>
      <c r="F156" s="180">
        <v>2596865070.635231</v>
      </c>
      <c r="G156" s="180">
        <v>3654257806.3496313</v>
      </c>
      <c r="H156" s="231">
        <v>40.718046835438649</v>
      </c>
      <c r="K156" s="221"/>
    </row>
    <row r="157" spans="1:11" ht="4.5" customHeight="1">
      <c r="A157" s="233"/>
      <c r="B157" s="233"/>
      <c r="C157" s="233"/>
      <c r="D157" s="233"/>
      <c r="E157" s="230"/>
      <c r="F157" s="180"/>
      <c r="G157" s="180"/>
      <c r="H157" s="231"/>
      <c r="K157" s="221"/>
    </row>
    <row r="158" spans="1:11">
      <c r="A158" s="233"/>
      <c r="B158" s="233"/>
      <c r="C158" s="233"/>
      <c r="D158" s="233"/>
      <c r="E158" s="230"/>
      <c r="F158" s="180"/>
      <c r="G158" s="180"/>
      <c r="H158" s="231"/>
      <c r="K158" s="221"/>
    </row>
    <row r="159" spans="1:11" ht="12" customHeight="1">
      <c r="A159" s="172"/>
      <c r="B159" s="172" t="s">
        <v>41</v>
      </c>
      <c r="C159" s="172"/>
      <c r="D159" s="172"/>
      <c r="E159" s="219"/>
      <c r="F159" s="173">
        <v>175180.20699999999</v>
      </c>
      <c r="G159" s="173">
        <v>632189.35699999996</v>
      </c>
      <c r="H159" s="222">
        <v>260.87944398878352</v>
      </c>
      <c r="K159" s="221"/>
    </row>
    <row r="160" spans="1:11" ht="12" customHeight="1">
      <c r="A160" s="233"/>
      <c r="B160" s="233"/>
      <c r="C160" s="233" t="s">
        <v>139</v>
      </c>
      <c r="D160" s="233"/>
      <c r="E160" s="230"/>
      <c r="F160" s="180">
        <v>175180.20699999999</v>
      </c>
      <c r="G160" s="180">
        <v>632189.35699999996</v>
      </c>
      <c r="H160" s="231">
        <v>260.87944398878352</v>
      </c>
      <c r="K160" s="221"/>
    </row>
    <row r="161" spans="1:11" ht="4.5" customHeight="1">
      <c r="A161" s="233"/>
      <c r="B161" s="233"/>
      <c r="C161" s="233"/>
      <c r="D161" s="233"/>
      <c r="E161" s="178"/>
      <c r="F161" s="180"/>
      <c r="G161" s="180"/>
      <c r="H161" s="231"/>
      <c r="K161" s="221"/>
    </row>
    <row r="162" spans="1:11">
      <c r="A162" s="233"/>
      <c r="B162" s="233"/>
      <c r="C162" s="233"/>
      <c r="D162" s="233"/>
      <c r="E162" s="178"/>
      <c r="F162" s="180"/>
      <c r="G162" s="180"/>
      <c r="H162" s="231"/>
      <c r="K162" s="221"/>
    </row>
    <row r="163" spans="1:11" ht="12" customHeight="1">
      <c r="A163" s="172"/>
      <c r="B163" s="172" t="s">
        <v>42</v>
      </c>
      <c r="C163" s="172"/>
      <c r="D163" s="172"/>
      <c r="E163" s="219"/>
      <c r="F163" s="173">
        <v>2483567326.8146181</v>
      </c>
      <c r="G163" s="173">
        <v>-190120613.4260006</v>
      </c>
      <c r="H163" s="222">
        <v>-107.65514231779841</v>
      </c>
      <c r="K163" s="221"/>
    </row>
    <row r="164" spans="1:11" ht="12" customHeight="1">
      <c r="A164" s="233"/>
      <c r="B164" s="233"/>
      <c r="C164" s="233" t="s">
        <v>140</v>
      </c>
      <c r="D164" s="233"/>
      <c r="E164" s="230"/>
      <c r="F164" s="180">
        <v>2176035199.842</v>
      </c>
      <c r="G164" s="180">
        <v>114093800</v>
      </c>
      <c r="H164" s="231">
        <v>-94.75680356603219</v>
      </c>
      <c r="K164" s="221"/>
    </row>
    <row r="165" spans="1:11" ht="12" customHeight="1">
      <c r="A165" s="233"/>
      <c r="B165" s="233"/>
      <c r="C165" s="233" t="s">
        <v>141</v>
      </c>
      <c r="D165" s="233"/>
      <c r="E165" s="230"/>
      <c r="F165" s="180">
        <v>307532126.97261786</v>
      </c>
      <c r="G165" s="180">
        <v>-304214413.4260006</v>
      </c>
      <c r="H165" s="231">
        <v>-198.9211814780858</v>
      </c>
      <c r="K165" s="221"/>
    </row>
    <row r="166" spans="1:11" ht="12" customHeight="1">
      <c r="A166" s="233"/>
      <c r="B166" s="233"/>
      <c r="C166" s="233" t="s">
        <v>142</v>
      </c>
      <c r="D166" s="233"/>
      <c r="E166" s="230"/>
      <c r="F166" s="180">
        <v>0</v>
      </c>
      <c r="G166" s="180">
        <v>0</v>
      </c>
      <c r="H166" s="231">
        <v>0</v>
      </c>
      <c r="K166" s="221"/>
    </row>
    <row r="167" spans="1:11" ht="4.5" customHeight="1">
      <c r="A167" s="233"/>
      <c r="B167" s="233"/>
      <c r="C167" s="233"/>
      <c r="D167" s="233"/>
      <c r="E167" s="230"/>
      <c r="F167" s="180"/>
      <c r="G167" s="180"/>
      <c r="H167" s="231"/>
      <c r="K167" s="221"/>
    </row>
    <row r="168" spans="1:11">
      <c r="A168" s="233"/>
      <c r="B168" s="233"/>
      <c r="C168" s="233"/>
      <c r="D168" s="233"/>
      <c r="E168" s="230"/>
      <c r="F168" s="180"/>
      <c r="G168" s="180"/>
      <c r="H168" s="231"/>
      <c r="K168" s="221"/>
    </row>
    <row r="169" spans="1:11" ht="12" customHeight="1">
      <c r="A169" s="172"/>
      <c r="B169" s="172" t="s">
        <v>43</v>
      </c>
      <c r="C169" s="172"/>
      <c r="D169" s="172"/>
      <c r="E169" s="219"/>
      <c r="F169" s="173">
        <v>6939683.1579999998</v>
      </c>
      <c r="G169" s="173">
        <v>52040628.719999999</v>
      </c>
      <c r="H169" s="231">
        <v>649.89920339530295</v>
      </c>
      <c r="K169" s="221"/>
    </row>
    <row r="170" spans="1:11" ht="12" customHeight="1">
      <c r="A170" s="233"/>
      <c r="B170" s="233"/>
      <c r="C170" s="233" t="s">
        <v>143</v>
      </c>
      <c r="D170" s="233"/>
      <c r="E170" s="219"/>
      <c r="F170" s="180">
        <v>56428.601000000002</v>
      </c>
      <c r="G170" s="180">
        <v>62658.923000000003</v>
      </c>
      <c r="H170" s="231">
        <v>11.041071175944971</v>
      </c>
      <c r="K170" s="221"/>
    </row>
    <row r="171" spans="1:11" ht="12" customHeight="1">
      <c r="A171" s="233"/>
      <c r="B171" s="233"/>
      <c r="C171" s="233" t="s">
        <v>144</v>
      </c>
      <c r="D171" s="233"/>
      <c r="E171" s="219"/>
      <c r="F171" s="180">
        <v>6883254.557</v>
      </c>
      <c r="G171" s="180">
        <v>51977969.796999998</v>
      </c>
      <c r="H171" s="231">
        <v>655.136532676108</v>
      </c>
      <c r="K171" s="221"/>
    </row>
    <row r="172" spans="1:11" ht="3.75" customHeight="1">
      <c r="A172" s="233"/>
      <c r="B172" s="233"/>
      <c r="C172" s="233"/>
      <c r="D172" s="233"/>
      <c r="E172" s="230"/>
      <c r="F172" s="180"/>
      <c r="G172" s="180"/>
      <c r="H172" s="231"/>
      <c r="K172" s="221"/>
    </row>
    <row r="173" spans="1:11" ht="12.75" customHeight="1">
      <c r="A173" s="233"/>
      <c r="B173" s="233"/>
      <c r="C173" s="233"/>
      <c r="D173" s="233"/>
      <c r="E173" s="230"/>
      <c r="F173" s="180"/>
      <c r="G173" s="180"/>
      <c r="H173" s="231"/>
      <c r="K173" s="221"/>
    </row>
    <row r="174" spans="1:11">
      <c r="A174" s="233"/>
      <c r="B174" s="172" t="s">
        <v>44</v>
      </c>
      <c r="C174" s="233"/>
      <c r="D174" s="233"/>
      <c r="E174" s="230"/>
      <c r="F174" s="173">
        <v>117031496.001</v>
      </c>
      <c r="G174" s="173">
        <v>94509792</v>
      </c>
      <c r="H174" s="222">
        <v>-19.244139202328547</v>
      </c>
      <c r="K174" s="221"/>
    </row>
    <row r="175" spans="1:11" ht="12" customHeight="1">
      <c r="A175" s="233"/>
      <c r="B175" s="233"/>
      <c r="C175" s="233" t="s">
        <v>128</v>
      </c>
      <c r="D175" s="233"/>
      <c r="E175" s="219"/>
      <c r="F175" s="180">
        <v>117031496.001</v>
      </c>
      <c r="G175" s="180">
        <v>94509792</v>
      </c>
      <c r="H175" s="231">
        <v>-19.244139202328547</v>
      </c>
      <c r="K175" s="221"/>
    </row>
    <row r="176" spans="1:11">
      <c r="A176" s="233"/>
      <c r="B176" s="233"/>
      <c r="C176" s="233"/>
      <c r="D176" s="233"/>
      <c r="E176" s="230"/>
      <c r="F176" s="180"/>
      <c r="G176" s="180"/>
      <c r="H176" s="231"/>
      <c r="K176" s="221"/>
    </row>
    <row r="177" spans="1:11" ht="12" customHeight="1">
      <c r="A177" s="172"/>
      <c r="B177" s="172" t="s">
        <v>56</v>
      </c>
      <c r="C177" s="172"/>
      <c r="D177" s="172"/>
      <c r="E177" s="219"/>
      <c r="F177" s="173">
        <v>11500165307.689049</v>
      </c>
      <c r="G177" s="173">
        <v>27820542510.01429</v>
      </c>
      <c r="H177" s="222">
        <v>141.91428354002338</v>
      </c>
      <c r="K177" s="221"/>
    </row>
    <row r="178" spans="1:11" ht="7.5" customHeight="1">
      <c r="A178" s="233"/>
      <c r="B178" s="233"/>
      <c r="C178" s="233"/>
      <c r="D178" s="233"/>
      <c r="E178" s="230"/>
      <c r="F178" s="180"/>
      <c r="G178" s="180"/>
      <c r="H178" s="231"/>
      <c r="K178" s="221"/>
    </row>
    <row r="179" spans="1:11">
      <c r="A179" s="233"/>
      <c r="B179" s="233"/>
      <c r="C179" s="233"/>
      <c r="D179" s="233"/>
      <c r="E179" s="230"/>
      <c r="F179" s="180"/>
      <c r="G179" s="180"/>
      <c r="H179" s="231"/>
      <c r="K179" s="221"/>
    </row>
    <row r="180" spans="1:11">
      <c r="A180" s="233"/>
      <c r="B180" s="233"/>
      <c r="C180" s="233"/>
      <c r="D180" s="233"/>
      <c r="E180" s="230"/>
      <c r="F180" s="180"/>
      <c r="G180" s="180"/>
      <c r="H180" s="231"/>
      <c r="K180" s="221"/>
    </row>
    <row r="181" spans="1:11">
      <c r="A181" s="233"/>
      <c r="B181" s="233"/>
      <c r="C181" s="233"/>
      <c r="D181" s="233"/>
      <c r="E181" s="230"/>
      <c r="F181" s="180"/>
      <c r="G181" s="180"/>
      <c r="H181" s="231"/>
      <c r="K181" s="221"/>
    </row>
    <row r="182" spans="1:11">
      <c r="A182" s="233"/>
      <c r="B182" s="233"/>
      <c r="C182" s="233"/>
      <c r="D182" s="233"/>
      <c r="E182" s="230"/>
      <c r="F182" s="180"/>
      <c r="G182" s="180"/>
      <c r="H182" s="231"/>
      <c r="K182" s="221"/>
    </row>
    <row r="183" spans="1:11">
      <c r="A183" s="233"/>
      <c r="B183" s="233"/>
      <c r="C183" s="233"/>
      <c r="D183" s="233"/>
      <c r="E183" s="230"/>
      <c r="F183" s="180"/>
      <c r="G183" s="180"/>
      <c r="H183" s="231"/>
      <c r="K183" s="221"/>
    </row>
    <row r="184" spans="1:11">
      <c r="A184" s="233"/>
      <c r="B184" s="233"/>
      <c r="C184" s="233"/>
      <c r="D184" s="233"/>
      <c r="E184" s="230"/>
      <c r="F184" s="180"/>
      <c r="G184" s="180"/>
      <c r="H184" s="231"/>
      <c r="K184" s="221"/>
    </row>
    <row r="185" spans="1:11">
      <c r="A185" s="233"/>
      <c r="B185" s="233"/>
      <c r="C185" s="233"/>
      <c r="D185" s="233"/>
      <c r="E185" s="230"/>
      <c r="F185" s="180"/>
      <c r="G185" s="180"/>
      <c r="H185" s="231"/>
      <c r="K185" s="221"/>
    </row>
    <row r="186" spans="1:11" ht="25.5">
      <c r="A186" s="178"/>
      <c r="B186" s="213" t="s">
        <v>71</v>
      </c>
      <c r="C186" s="214"/>
      <c r="D186" s="214"/>
      <c r="E186" s="214"/>
      <c r="F186" s="215" t="s">
        <v>72</v>
      </c>
      <c r="G186" s="215" t="s">
        <v>73</v>
      </c>
      <c r="H186" s="216" t="s">
        <v>74</v>
      </c>
      <c r="K186" s="221"/>
    </row>
    <row r="187" spans="1:11" ht="7.5" customHeight="1">
      <c r="A187" s="233"/>
      <c r="B187" s="233"/>
      <c r="C187" s="233"/>
      <c r="D187" s="233"/>
      <c r="E187" s="230"/>
      <c r="F187" s="180"/>
      <c r="G187" s="180"/>
      <c r="H187" s="231"/>
      <c r="K187" s="221"/>
    </row>
    <row r="188" spans="1:11" ht="12.75" customHeight="1">
      <c r="A188" s="233"/>
      <c r="B188" s="172" t="s">
        <v>45</v>
      </c>
      <c r="C188" s="233"/>
      <c r="D188" s="233"/>
      <c r="E188" s="230"/>
      <c r="F188" s="173">
        <v>827087645.71708822</v>
      </c>
      <c r="G188" s="173">
        <v>1149998286.2429233</v>
      </c>
      <c r="H188" s="222">
        <v>39.04188899422747</v>
      </c>
      <c r="K188" s="221"/>
    </row>
    <row r="189" spans="1:11" ht="12.75" customHeight="1">
      <c r="A189" s="233"/>
      <c r="B189" s="233"/>
      <c r="C189" s="233" t="s">
        <v>145</v>
      </c>
      <c r="D189" s="233"/>
      <c r="E189" s="230"/>
      <c r="F189" s="180">
        <v>134277044.37345591</v>
      </c>
      <c r="G189" s="180">
        <v>240013505.37075919</v>
      </c>
      <c r="H189" s="222">
        <v>78.745001791389896</v>
      </c>
      <c r="K189" s="221"/>
    </row>
    <row r="190" spans="1:11" ht="12.75" customHeight="1">
      <c r="A190" s="233"/>
      <c r="B190" s="233"/>
      <c r="C190" s="233" t="s">
        <v>146</v>
      </c>
      <c r="D190" s="233"/>
      <c r="E190" s="230"/>
      <c r="F190" s="180">
        <v>235896268.10674828</v>
      </c>
      <c r="G190" s="180">
        <v>307597665.50914931</v>
      </c>
      <c r="H190" s="222">
        <v>30.395308063947233</v>
      </c>
      <c r="K190" s="221"/>
    </row>
    <row r="191" spans="1:11" ht="12.75" customHeight="1">
      <c r="A191" s="233"/>
      <c r="B191" s="233"/>
      <c r="C191" s="233" t="s">
        <v>147</v>
      </c>
      <c r="D191" s="233"/>
      <c r="E191" s="230"/>
      <c r="F191" s="180">
        <v>456914333.23688406</v>
      </c>
      <c r="G191" s="180">
        <v>602387115.3630147</v>
      </c>
      <c r="H191" s="222">
        <v>31.838086823752864</v>
      </c>
      <c r="K191" s="221"/>
    </row>
    <row r="192" spans="1:11" ht="12.75" customHeight="1">
      <c r="A192" s="233"/>
      <c r="B192" s="233"/>
      <c r="C192" s="233"/>
      <c r="D192" s="233"/>
      <c r="E192" s="230"/>
      <c r="F192" s="180"/>
      <c r="G192" s="180"/>
      <c r="H192" s="222"/>
      <c r="K192" s="221"/>
    </row>
    <row r="193" spans="1:11" ht="12.75" customHeight="1">
      <c r="A193" s="233"/>
      <c r="B193" s="172" t="s">
        <v>47</v>
      </c>
      <c r="C193" s="233"/>
      <c r="D193" s="233"/>
      <c r="E193" s="230"/>
      <c r="F193" s="173">
        <v>5201929269.8316736</v>
      </c>
      <c r="G193" s="173">
        <v>2649259703.3171878</v>
      </c>
      <c r="H193" s="222">
        <v>-49.071593136003678</v>
      </c>
      <c r="K193" s="221"/>
    </row>
    <row r="194" spans="1:11" ht="12.75" customHeight="1">
      <c r="A194" s="233"/>
      <c r="B194" s="233"/>
      <c r="C194" s="233" t="s">
        <v>145</v>
      </c>
      <c r="D194" s="233"/>
      <c r="E194" s="230"/>
      <c r="F194" s="180">
        <v>45439850.130260199</v>
      </c>
      <c r="G194" s="180">
        <v>134981656.8374964</v>
      </c>
      <c r="H194" s="222">
        <v>197.05568229329779</v>
      </c>
      <c r="K194" s="221"/>
    </row>
    <row r="195" spans="1:11" ht="12.75" customHeight="1">
      <c r="A195" s="233"/>
      <c r="B195" s="233"/>
      <c r="C195" s="233" t="s">
        <v>146</v>
      </c>
      <c r="D195" s="233"/>
      <c r="E195" s="230"/>
      <c r="F195" s="180">
        <v>1406292.701413</v>
      </c>
      <c r="G195" s="180">
        <v>2514278046.4796915</v>
      </c>
      <c r="H195" s="222">
        <v>178687.67655932665</v>
      </c>
      <c r="K195" s="221"/>
    </row>
    <row r="196" spans="1:11" ht="12.75" customHeight="1">
      <c r="A196" s="233"/>
      <c r="B196" s="233"/>
      <c r="C196" s="233" t="s">
        <v>147</v>
      </c>
      <c r="D196" s="233"/>
      <c r="E196" s="230"/>
      <c r="F196" s="180">
        <v>5155083127</v>
      </c>
      <c r="G196" s="180">
        <v>0</v>
      </c>
      <c r="H196" s="222">
        <v>0</v>
      </c>
      <c r="K196" s="221"/>
    </row>
    <row r="197" spans="1:11" ht="12.75" customHeight="1">
      <c r="A197" s="233"/>
      <c r="B197" s="233"/>
      <c r="C197" s="233"/>
      <c r="D197" s="233"/>
      <c r="E197" s="230"/>
      <c r="F197" s="180"/>
      <c r="G197" s="180"/>
      <c r="H197" s="231"/>
      <c r="K197" s="221"/>
    </row>
    <row r="198" spans="1:11" ht="12.75" customHeight="1">
      <c r="A198" s="233"/>
      <c r="B198" s="172" t="s">
        <v>48</v>
      </c>
      <c r="C198" s="233"/>
      <c r="D198" s="233"/>
      <c r="E198" s="230"/>
      <c r="F198" s="173">
        <v>3879424.4195578997</v>
      </c>
      <c r="G198" s="173">
        <v>0</v>
      </c>
      <c r="H198" s="222">
        <v>-100</v>
      </c>
      <c r="K198" s="221"/>
    </row>
    <row r="199" spans="1:11" ht="12.75" customHeight="1">
      <c r="A199" s="233"/>
      <c r="B199" s="233"/>
      <c r="C199" s="233" t="s">
        <v>145</v>
      </c>
      <c r="D199" s="233"/>
      <c r="E199" s="230"/>
      <c r="F199" s="180">
        <v>3879424.4195578997</v>
      </c>
      <c r="G199" s="180">
        <v>0</v>
      </c>
      <c r="H199" s="222">
        <v>-100</v>
      </c>
      <c r="K199" s="221"/>
    </row>
    <row r="200" spans="1:11" ht="12.75" customHeight="1">
      <c r="A200" s="233"/>
      <c r="B200" s="233"/>
      <c r="C200" s="233" t="s">
        <v>146</v>
      </c>
      <c r="D200" s="233"/>
      <c r="E200" s="230"/>
      <c r="F200" s="180">
        <v>0</v>
      </c>
      <c r="G200" s="180">
        <v>0</v>
      </c>
      <c r="H200" s="222">
        <v>0</v>
      </c>
      <c r="K200" s="221"/>
    </row>
    <row r="201" spans="1:11" ht="12.75" customHeight="1">
      <c r="A201" s="233"/>
      <c r="B201" s="233"/>
      <c r="C201" s="233"/>
      <c r="D201" s="233"/>
      <c r="E201" s="230"/>
      <c r="F201" s="180"/>
      <c r="G201" s="180"/>
      <c r="H201" s="231"/>
      <c r="K201" s="221"/>
    </row>
    <row r="202" spans="1:11" ht="12.75" customHeight="1">
      <c r="A202" s="233"/>
      <c r="B202" s="172" t="s">
        <v>49</v>
      </c>
      <c r="C202" s="233"/>
      <c r="D202" s="233"/>
      <c r="E202" s="230"/>
      <c r="F202" s="173">
        <v>681260785.47500002</v>
      </c>
      <c r="G202" s="173">
        <v>485068604</v>
      </c>
      <c r="H202" s="222">
        <v>-28.798396393564275</v>
      </c>
      <c r="K202" s="221"/>
    </row>
    <row r="203" spans="1:11" ht="12.75" customHeight="1">
      <c r="A203" s="233"/>
      <c r="B203" s="172"/>
      <c r="C203" s="233" t="s">
        <v>146</v>
      </c>
      <c r="D203" s="233"/>
      <c r="E203" s="230"/>
      <c r="F203" s="185">
        <v>279093443.47500002</v>
      </c>
      <c r="G203" s="185">
        <v>0</v>
      </c>
      <c r="H203" s="211">
        <v>-100</v>
      </c>
      <c r="I203" s="234"/>
      <c r="K203" s="221"/>
    </row>
    <row r="204" spans="1:11" ht="12.75" customHeight="1">
      <c r="A204" s="233"/>
      <c r="B204" s="233"/>
      <c r="C204" s="233" t="s">
        <v>147</v>
      </c>
      <c r="D204" s="233"/>
      <c r="E204" s="230"/>
      <c r="F204" s="180">
        <v>402167342</v>
      </c>
      <c r="G204" s="185">
        <v>485068604</v>
      </c>
      <c r="H204" s="211">
        <v>20.613623569663208</v>
      </c>
      <c r="K204" s="221"/>
    </row>
    <row r="205" spans="1:11" ht="12.75" customHeight="1">
      <c r="A205" s="233"/>
      <c r="B205" s="233"/>
      <c r="C205" s="172"/>
      <c r="D205" s="233"/>
      <c r="E205" s="230"/>
      <c r="F205" s="186"/>
      <c r="G205" s="180"/>
      <c r="H205" s="222"/>
      <c r="K205" s="221"/>
    </row>
    <row r="206" spans="1:11" ht="12.75" customHeight="1">
      <c r="A206" s="233"/>
      <c r="B206" s="172" t="s">
        <v>148</v>
      </c>
      <c r="C206" s="233"/>
      <c r="D206" s="233"/>
      <c r="E206" s="230"/>
      <c r="F206" s="173">
        <v>326585216.05199999</v>
      </c>
      <c r="G206" s="173">
        <v>154049629.595</v>
      </c>
      <c r="H206" s="222">
        <v>-52.830188868539693</v>
      </c>
      <c r="K206" s="221"/>
    </row>
    <row r="207" spans="1:11" ht="12.75" customHeight="1">
      <c r="A207" s="233"/>
      <c r="B207" s="233"/>
      <c r="C207" s="233" t="s">
        <v>12</v>
      </c>
      <c r="D207" s="233"/>
      <c r="E207" s="230"/>
      <c r="F207" s="180">
        <v>0</v>
      </c>
      <c r="G207" s="180">
        <v>0</v>
      </c>
      <c r="H207" s="211">
        <v>0</v>
      </c>
      <c r="K207" s="221"/>
    </row>
    <row r="208" spans="1:11" ht="12.75" customHeight="1">
      <c r="A208" s="233"/>
      <c r="B208" s="233"/>
      <c r="C208" s="233" t="s">
        <v>145</v>
      </c>
      <c r="D208" s="233"/>
      <c r="E208" s="230"/>
      <c r="F208" s="180">
        <v>13713913.966</v>
      </c>
      <c r="G208" s="180">
        <v>6793044.6109999996</v>
      </c>
      <c r="H208" s="211">
        <v>-50.466040345290587</v>
      </c>
      <c r="K208" s="221"/>
    </row>
    <row r="209" spans="1:11" ht="12.75" customHeight="1">
      <c r="A209" s="233"/>
      <c r="B209" s="233"/>
      <c r="C209" s="233" t="s">
        <v>146</v>
      </c>
      <c r="D209" s="233"/>
      <c r="E209" s="230"/>
      <c r="F209" s="180">
        <v>189412990.086</v>
      </c>
      <c r="G209" s="180">
        <v>0</v>
      </c>
      <c r="H209" s="211">
        <v>-100</v>
      </c>
      <c r="K209" s="221"/>
    </row>
    <row r="210" spans="1:11" ht="12.75" customHeight="1">
      <c r="A210" s="233"/>
      <c r="B210" s="233"/>
      <c r="C210" s="233" t="s">
        <v>147</v>
      </c>
      <c r="D210" s="233"/>
      <c r="E210" s="230"/>
      <c r="F210" s="180">
        <v>123458312</v>
      </c>
      <c r="G210" s="180">
        <v>147256584.984</v>
      </c>
      <c r="H210" s="211">
        <v>19.276363493451942</v>
      </c>
      <c r="K210" s="221"/>
    </row>
    <row r="211" spans="1:11" ht="12.75" customHeight="1">
      <c r="A211" s="233"/>
      <c r="B211" s="233"/>
      <c r="C211" s="172"/>
      <c r="D211" s="233"/>
      <c r="E211" s="230"/>
      <c r="F211" s="186"/>
      <c r="G211" s="180"/>
      <c r="H211" s="222"/>
      <c r="K211" s="221"/>
    </row>
    <row r="212" spans="1:11" ht="12.75" customHeight="1">
      <c r="A212" s="233"/>
      <c r="B212" s="172" t="s">
        <v>51</v>
      </c>
      <c r="C212" s="233"/>
      <c r="D212" s="233"/>
      <c r="E212" s="230"/>
      <c r="F212" s="173">
        <v>1073518118</v>
      </c>
      <c r="G212" s="173">
        <v>1097050356</v>
      </c>
      <c r="H212" s="222">
        <v>2.1920671486980847</v>
      </c>
      <c r="K212" s="221"/>
    </row>
    <row r="213" spans="1:11" ht="12.75" customHeight="1">
      <c r="A213" s="233"/>
      <c r="B213" s="233"/>
      <c r="C213" s="233" t="s">
        <v>12</v>
      </c>
      <c r="D213" s="233"/>
      <c r="E213" s="230"/>
      <c r="F213" s="180">
        <v>93398496</v>
      </c>
      <c r="G213" s="180">
        <v>120057075</v>
      </c>
      <c r="H213" s="211">
        <v>28.542835422103586</v>
      </c>
      <c r="K213" s="221"/>
    </row>
    <row r="214" spans="1:11" ht="12.75" customHeight="1">
      <c r="A214" s="233"/>
      <c r="B214" s="233"/>
      <c r="C214" s="233" t="s">
        <v>149</v>
      </c>
      <c r="D214" s="233"/>
      <c r="E214" s="230"/>
      <c r="F214" s="180">
        <v>980119622</v>
      </c>
      <c r="G214" s="180">
        <v>976993281</v>
      </c>
      <c r="H214" s="211">
        <v>-0.31897545256981408</v>
      </c>
      <c r="K214" s="221"/>
    </row>
    <row r="215" spans="1:11" ht="12.75" customHeight="1">
      <c r="A215" s="233"/>
      <c r="B215" s="233"/>
      <c r="C215" s="233"/>
      <c r="D215" s="233"/>
      <c r="E215" s="230"/>
      <c r="F215" s="186"/>
      <c r="G215" s="180"/>
      <c r="H215" s="222"/>
      <c r="K215" s="221"/>
    </row>
    <row r="216" spans="1:11" ht="12.75" customHeight="1">
      <c r="A216" s="233"/>
      <c r="B216" s="172" t="s">
        <v>53</v>
      </c>
      <c r="C216" s="233"/>
      <c r="D216" s="233"/>
      <c r="E216" s="230"/>
      <c r="F216" s="173">
        <v>0</v>
      </c>
      <c r="G216" s="173">
        <v>0</v>
      </c>
      <c r="H216" s="222">
        <v>0</v>
      </c>
      <c r="K216" s="221"/>
    </row>
    <row r="217" spans="1:11" ht="12.75" customHeight="1">
      <c r="A217" s="233"/>
      <c r="B217" s="233"/>
      <c r="C217" s="233" t="s">
        <v>150</v>
      </c>
      <c r="D217" s="233"/>
      <c r="E217" s="230"/>
      <c r="F217" s="180">
        <v>0</v>
      </c>
      <c r="G217" s="180">
        <v>0</v>
      </c>
      <c r="H217" s="211">
        <v>0</v>
      </c>
      <c r="K217" s="221"/>
    </row>
    <row r="218" spans="1:11" ht="12.75" customHeight="1">
      <c r="A218" s="233"/>
      <c r="B218" s="233"/>
      <c r="C218" s="233" t="s">
        <v>147</v>
      </c>
      <c r="D218" s="233"/>
      <c r="E218" s="230"/>
      <c r="F218" s="180">
        <v>0</v>
      </c>
      <c r="G218" s="180">
        <v>0</v>
      </c>
      <c r="H218" s="211">
        <v>0</v>
      </c>
      <c r="K218" s="221"/>
    </row>
    <row r="219" spans="1:11" ht="12.75" customHeight="1">
      <c r="A219" s="233"/>
      <c r="B219" s="233"/>
      <c r="C219" s="172"/>
      <c r="D219" s="233"/>
      <c r="E219" s="230"/>
      <c r="F219" s="186"/>
      <c r="G219" s="180"/>
      <c r="H219" s="222"/>
      <c r="K219" s="221"/>
    </row>
    <row r="220" spans="1:11" ht="12.75" customHeight="1">
      <c r="A220" s="233"/>
      <c r="B220" s="172" t="s">
        <v>54</v>
      </c>
      <c r="C220" s="172"/>
      <c r="D220" s="233"/>
      <c r="E220" s="230"/>
      <c r="F220" s="173">
        <v>85906716.555000007</v>
      </c>
      <c r="G220" s="173">
        <v>0</v>
      </c>
      <c r="H220" s="222">
        <v>-100</v>
      </c>
      <c r="K220" s="221"/>
    </row>
    <row r="221" spans="1:11" ht="12.75" customHeight="1">
      <c r="A221" s="233"/>
      <c r="B221" s="172"/>
      <c r="C221" s="233" t="s">
        <v>151</v>
      </c>
      <c r="D221" s="233"/>
      <c r="E221" s="230"/>
      <c r="F221" s="180">
        <v>85906716.555000007</v>
      </c>
      <c r="G221" s="180">
        <v>0</v>
      </c>
      <c r="H221" s="211">
        <v>-100</v>
      </c>
      <c r="K221" s="221"/>
    </row>
    <row r="222" spans="1:11" ht="12.75" customHeight="1">
      <c r="A222" s="233"/>
      <c r="B222" s="233"/>
      <c r="C222" s="172"/>
      <c r="D222" s="233"/>
      <c r="E222" s="230"/>
      <c r="F222" s="186"/>
      <c r="G222" s="180"/>
      <c r="H222" s="222"/>
      <c r="K222" s="221"/>
    </row>
    <row r="223" spans="1:11" ht="12.75" customHeight="1">
      <c r="A223" s="233"/>
      <c r="B223" s="233"/>
      <c r="C223" s="172"/>
      <c r="D223" s="233"/>
      <c r="E223" s="230"/>
      <c r="F223" s="186"/>
      <c r="G223" s="180"/>
      <c r="H223" s="222"/>
      <c r="K223" s="221"/>
    </row>
    <row r="224" spans="1:11" ht="12" customHeight="1">
      <c r="A224" s="233"/>
      <c r="B224" s="233"/>
      <c r="C224" s="233"/>
      <c r="D224" s="233"/>
      <c r="E224" s="230"/>
      <c r="F224" s="180"/>
      <c r="G224" s="180"/>
      <c r="H224" s="231"/>
      <c r="K224" s="221"/>
    </row>
    <row r="225" spans="1:11" s="187" customFormat="1" ht="12" customHeight="1">
      <c r="A225" s="172"/>
      <c r="B225" s="235" t="s">
        <v>152</v>
      </c>
      <c r="C225" s="236"/>
      <c r="D225" s="236"/>
      <c r="E225" s="237"/>
      <c r="F225" s="238">
        <v>82817108162.436661</v>
      </c>
      <c r="G225" s="238">
        <v>96970946779.663773</v>
      </c>
      <c r="H225" s="239">
        <v>17.090476752056972</v>
      </c>
      <c r="J225" s="208"/>
      <c r="K225" s="221"/>
    </row>
    <row r="226" spans="1:11" ht="12" customHeight="1">
      <c r="A226" s="187"/>
      <c r="B226" s="187"/>
      <c r="C226" s="187"/>
      <c r="D226" s="187"/>
      <c r="E226" s="187"/>
      <c r="I226" s="174"/>
    </row>
    <row r="227" spans="1:11" ht="12" customHeight="1">
      <c r="A227" s="187"/>
      <c r="B227" s="178" t="s">
        <v>66</v>
      </c>
      <c r="C227" s="187"/>
      <c r="D227" s="187"/>
      <c r="E227" s="187"/>
      <c r="F227" s="185"/>
      <c r="G227" s="185"/>
      <c r="H227" s="211"/>
    </row>
    <row r="228" spans="1:11" ht="12" customHeight="1">
      <c r="A228" s="187"/>
      <c r="B228" s="178" t="s">
        <v>67</v>
      </c>
      <c r="C228" s="187"/>
      <c r="D228" s="187"/>
      <c r="E228" s="241"/>
      <c r="G228" s="185"/>
      <c r="H228" s="211"/>
    </row>
    <row r="229" spans="1:11" ht="12" customHeight="1">
      <c r="B229" s="178" t="s">
        <v>153</v>
      </c>
    </row>
    <row r="237" spans="1:11" ht="12" customHeight="1">
      <c r="C237" s="242"/>
      <c r="D237" s="243"/>
      <c r="E237" s="244"/>
    </row>
    <row r="238" spans="1:11" ht="12" customHeight="1">
      <c r="G238" s="185"/>
    </row>
    <row r="239" spans="1:11" ht="12" customHeight="1">
      <c r="G239" s="185"/>
    </row>
    <row r="240" spans="1:11" ht="12" customHeight="1">
      <c r="G240" s="185"/>
    </row>
    <row r="241" spans="7:7" ht="12" customHeight="1">
      <c r="G241" s="185"/>
    </row>
  </sheetData>
  <mergeCells count="4">
    <mergeCell ref="B2:H2"/>
    <mergeCell ref="B3:H3"/>
    <mergeCell ref="B4:H4"/>
    <mergeCell ref="B5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E2F3"/>
  </sheetPr>
  <dimension ref="A1:Z1000"/>
  <sheetViews>
    <sheetView workbookViewId="0"/>
  </sheetViews>
  <sheetFormatPr baseColWidth="10" defaultColWidth="14.42578125" defaultRowHeight="15" customHeight="1"/>
  <cols>
    <col min="1" max="1" width="2.42578125" customWidth="1"/>
    <col min="2" max="3" width="2.140625" customWidth="1"/>
    <col min="4" max="4" width="20.85546875" customWidth="1"/>
    <col min="5" max="5" width="20.42578125" customWidth="1"/>
    <col min="6" max="6" width="17.42578125" customWidth="1"/>
    <col min="7" max="7" width="14.85546875" customWidth="1"/>
    <col min="8" max="8" width="14.7109375" customWidth="1"/>
    <col min="9" max="9" width="12.140625" customWidth="1"/>
    <col min="10" max="10" width="12.85546875" customWidth="1"/>
    <col min="11" max="11" width="12.5703125" customWidth="1"/>
    <col min="12" max="26" width="11.42578125" customWidth="1"/>
  </cols>
  <sheetData>
    <row r="1" spans="1:26" ht="11.25" customHeight="1">
      <c r="A1" s="18"/>
      <c r="B1" s="249" t="s">
        <v>154</v>
      </c>
      <c r="C1" s="250"/>
      <c r="D1" s="250"/>
      <c r="E1" s="250"/>
      <c r="F1" s="250"/>
      <c r="G1" s="250"/>
      <c r="H1" s="250"/>
      <c r="I1" s="251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1.25" customHeight="1">
      <c r="A2" s="18"/>
      <c r="B2" s="252" t="s">
        <v>155</v>
      </c>
      <c r="C2" s="250"/>
      <c r="D2" s="250"/>
      <c r="E2" s="250"/>
      <c r="F2" s="250"/>
      <c r="G2" s="250"/>
      <c r="H2" s="250"/>
      <c r="I2" s="251"/>
      <c r="J2" s="20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1.25" customHeight="1">
      <c r="A3" s="21"/>
      <c r="B3" s="253" t="s">
        <v>1</v>
      </c>
      <c r="C3" s="250"/>
      <c r="D3" s="250"/>
      <c r="E3" s="250"/>
      <c r="F3" s="250"/>
      <c r="G3" s="250"/>
      <c r="H3" s="250"/>
      <c r="I3" s="251"/>
      <c r="J3" s="22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1.25" customHeight="1">
      <c r="A4" s="21"/>
      <c r="B4" s="253" t="s">
        <v>70</v>
      </c>
      <c r="C4" s="250"/>
      <c r="D4" s="250"/>
      <c r="E4" s="250"/>
      <c r="F4" s="250"/>
      <c r="G4" s="250"/>
      <c r="H4" s="250"/>
      <c r="I4" s="251"/>
      <c r="J4" s="22"/>
      <c r="K4" s="23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1.25" customHeight="1">
      <c r="A5" s="18"/>
      <c r="B5" s="18"/>
      <c r="C5" s="18"/>
      <c r="D5" s="18"/>
      <c r="E5" s="18"/>
      <c r="F5" s="18"/>
      <c r="G5" s="24"/>
      <c r="H5" s="24"/>
      <c r="I5" s="25"/>
      <c r="J5" s="18"/>
      <c r="K5" s="23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1.25" customHeight="1">
      <c r="A6" s="26"/>
      <c r="B6" s="9" t="s">
        <v>71</v>
      </c>
      <c r="C6" s="10"/>
      <c r="D6" s="10"/>
      <c r="E6" s="10"/>
      <c r="F6" s="10"/>
      <c r="G6" s="11" t="s">
        <v>72</v>
      </c>
      <c r="H6" s="11" t="s">
        <v>73</v>
      </c>
      <c r="I6" s="12" t="s">
        <v>74</v>
      </c>
      <c r="J6" s="27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11.25" customHeight="1">
      <c r="A7" s="18"/>
      <c r="B7" s="18"/>
      <c r="C7" s="18"/>
      <c r="D7" s="18"/>
      <c r="E7" s="18"/>
      <c r="F7" s="18"/>
      <c r="G7" s="24"/>
      <c r="H7" s="24"/>
      <c r="I7" s="25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1.25" customHeight="1">
      <c r="A8" s="26"/>
      <c r="B8" s="28" t="s">
        <v>8</v>
      </c>
      <c r="C8" s="28"/>
      <c r="D8" s="28"/>
      <c r="E8" s="28"/>
      <c r="F8" s="28"/>
      <c r="G8" s="29">
        <v>2856459935.5580006</v>
      </c>
      <c r="H8" s="29">
        <v>2299765713.3560004</v>
      </c>
      <c r="I8" s="30">
        <v>-19.488956077139996</v>
      </c>
      <c r="J8" s="31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1.25" customHeight="1">
      <c r="A9" s="18"/>
      <c r="B9" s="32"/>
      <c r="C9" s="32"/>
      <c r="D9" s="32"/>
      <c r="E9" s="32"/>
      <c r="F9" s="32"/>
      <c r="G9" s="24"/>
      <c r="H9" s="24"/>
      <c r="I9" s="30"/>
      <c r="J9" s="2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1.25" customHeight="1">
      <c r="A10" s="18"/>
      <c r="B10" s="28" t="s">
        <v>156</v>
      </c>
      <c r="C10" s="28"/>
      <c r="D10" s="28"/>
      <c r="E10" s="32"/>
      <c r="F10" s="32"/>
      <c r="G10" s="29">
        <v>132818002.55</v>
      </c>
      <c r="H10" s="29">
        <v>168552276.009</v>
      </c>
      <c r="I10" s="30">
        <v>26.904691211229181</v>
      </c>
      <c r="J10" s="2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1.25" customHeight="1">
      <c r="A11" s="18"/>
      <c r="B11" s="33"/>
      <c r="C11" s="33" t="s">
        <v>157</v>
      </c>
      <c r="D11" s="33"/>
      <c r="E11" s="32"/>
      <c r="F11" s="32"/>
      <c r="G11" s="34">
        <v>132818002.55</v>
      </c>
      <c r="H11" s="34">
        <v>168552276.009</v>
      </c>
      <c r="I11" s="30">
        <v>26.904691211229181</v>
      </c>
      <c r="J11" s="2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1.25" customHeight="1">
      <c r="A12" s="18"/>
      <c r="B12" s="35"/>
      <c r="C12" s="35"/>
      <c r="D12" s="35" t="s">
        <v>158</v>
      </c>
      <c r="E12" s="32"/>
      <c r="F12" s="32"/>
      <c r="G12" s="36">
        <v>75573952.169</v>
      </c>
      <c r="H12" s="36">
        <v>98646970.538000003</v>
      </c>
      <c r="I12" s="25">
        <v>30.530384751354077</v>
      </c>
      <c r="J12" s="2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1.25" customHeight="1">
      <c r="A13" s="18"/>
      <c r="B13" s="35"/>
      <c r="C13" s="35"/>
      <c r="D13" s="35" t="s">
        <v>159</v>
      </c>
      <c r="E13" s="32"/>
      <c r="F13" s="32"/>
      <c r="G13" s="36">
        <v>57244050.380999997</v>
      </c>
      <c r="H13" s="36">
        <v>69905305.471000001</v>
      </c>
      <c r="I13" s="25">
        <v>22.11802799719851</v>
      </c>
      <c r="J13" s="2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1.25" customHeight="1">
      <c r="A14" s="18"/>
      <c r="B14" s="32"/>
      <c r="C14" s="32"/>
      <c r="D14" s="32"/>
      <c r="E14" s="32"/>
      <c r="F14" s="32"/>
      <c r="G14" s="36"/>
      <c r="H14" s="36"/>
      <c r="I14" s="30"/>
      <c r="J14" s="2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1.25" customHeight="1">
      <c r="A15" s="26"/>
      <c r="B15" s="28" t="s">
        <v>160</v>
      </c>
      <c r="C15" s="28"/>
      <c r="D15" s="28"/>
      <c r="E15" s="28"/>
      <c r="F15" s="28"/>
      <c r="G15" s="29">
        <v>2526737290.0700002</v>
      </c>
      <c r="H15" s="29">
        <v>2030911393.7460003</v>
      </c>
      <c r="I15" s="30">
        <v>-19.623167721970159</v>
      </c>
      <c r="J15" s="31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1.25" customHeight="1">
      <c r="A16" s="37"/>
      <c r="B16" s="33"/>
      <c r="C16" s="33" t="s">
        <v>161</v>
      </c>
      <c r="D16" s="33"/>
      <c r="E16" s="33"/>
      <c r="F16" s="33"/>
      <c r="G16" s="34">
        <v>2311543180.0700002</v>
      </c>
      <c r="H16" s="34">
        <v>1759834128.7460003</v>
      </c>
      <c r="I16" s="30">
        <v>-23.867564148522312</v>
      </c>
      <c r="J16" s="31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1.25" customHeight="1">
      <c r="A17" s="21"/>
      <c r="B17" s="35"/>
      <c r="C17" s="35"/>
      <c r="D17" s="35" t="s">
        <v>162</v>
      </c>
      <c r="E17" s="35"/>
      <c r="F17" s="35"/>
      <c r="G17" s="36">
        <v>3691711.2429999998</v>
      </c>
      <c r="H17" s="36">
        <v>1451381.2919999999</v>
      </c>
      <c r="I17" s="25">
        <v>-60.685405860167933</v>
      </c>
      <c r="J17" s="3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1.25" customHeight="1">
      <c r="A18" s="21"/>
      <c r="B18" s="35"/>
      <c r="C18" s="35"/>
      <c r="D18" s="35" t="s">
        <v>163</v>
      </c>
      <c r="E18" s="35"/>
      <c r="F18" s="35"/>
      <c r="G18" s="36">
        <v>27325170.355</v>
      </c>
      <c r="H18" s="36">
        <v>44769787.605999999</v>
      </c>
      <c r="I18" s="25">
        <v>63.840836212052942</v>
      </c>
      <c r="J18" s="3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1.25" customHeight="1">
      <c r="A19" s="21"/>
      <c r="B19" s="35"/>
      <c r="C19" s="35"/>
      <c r="D19" s="35" t="s">
        <v>164</v>
      </c>
      <c r="E19" s="35"/>
      <c r="F19" s="35"/>
      <c r="G19" s="36">
        <v>573756966</v>
      </c>
      <c r="H19" s="36">
        <v>654044660</v>
      </c>
      <c r="I19" s="25">
        <v>13.993327969459468</v>
      </c>
      <c r="J19" s="3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1.25" customHeight="1">
      <c r="A20" s="21"/>
      <c r="B20" s="35"/>
      <c r="C20" s="35"/>
      <c r="D20" s="35" t="s">
        <v>165</v>
      </c>
      <c r="E20" s="35"/>
      <c r="F20" s="35"/>
      <c r="G20" s="36">
        <v>0</v>
      </c>
      <c r="H20" s="36">
        <v>52.014000000000003</v>
      </c>
      <c r="I20" s="25">
        <v>0</v>
      </c>
      <c r="J20" s="3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1.25" customHeight="1">
      <c r="A21" s="21"/>
      <c r="B21" s="35"/>
      <c r="C21" s="35"/>
      <c r="D21" s="35" t="s">
        <v>166</v>
      </c>
      <c r="E21" s="35"/>
      <c r="F21" s="35"/>
      <c r="G21" s="36">
        <v>393171850</v>
      </c>
      <c r="H21" s="36">
        <v>632073540</v>
      </c>
      <c r="I21" s="25">
        <v>60.76266395979264</v>
      </c>
      <c r="J21" s="3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1.25" customHeight="1">
      <c r="A22" s="21"/>
      <c r="B22" s="35"/>
      <c r="C22" s="35"/>
      <c r="D22" s="35" t="s">
        <v>167</v>
      </c>
      <c r="E22" s="35"/>
      <c r="F22" s="35"/>
      <c r="G22" s="36">
        <v>94677121.611000001</v>
      </c>
      <c r="H22" s="36">
        <v>101271503.612</v>
      </c>
      <c r="I22" s="25">
        <v>6.9651272543902909</v>
      </c>
      <c r="J22" s="3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1.25" customHeight="1">
      <c r="A23" s="21"/>
      <c r="B23" s="35"/>
      <c r="C23" s="35"/>
      <c r="D23" s="35" t="s">
        <v>168</v>
      </c>
      <c r="E23" s="35"/>
      <c r="F23" s="35"/>
      <c r="G23" s="36">
        <v>75673592.923999995</v>
      </c>
      <c r="H23" s="36">
        <v>76839207.782000005</v>
      </c>
      <c r="I23" s="25">
        <v>1.5403191694236762</v>
      </c>
      <c r="J23" s="3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1.25" customHeight="1">
      <c r="A24" s="21"/>
      <c r="B24" s="35"/>
      <c r="C24" s="35"/>
      <c r="D24" s="35" t="s">
        <v>169</v>
      </c>
      <c r="E24" s="35"/>
      <c r="F24" s="35"/>
      <c r="G24" s="36">
        <v>379154.43300000002</v>
      </c>
      <c r="H24" s="36">
        <v>464771.39600000001</v>
      </c>
      <c r="I24" s="25">
        <v>22.58102650220102</v>
      </c>
      <c r="J24" s="3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1.25" customHeight="1">
      <c r="A25" s="21"/>
      <c r="B25" s="35"/>
      <c r="C25" s="35"/>
      <c r="D25" s="35" t="s">
        <v>170</v>
      </c>
      <c r="E25" s="35"/>
      <c r="F25" s="35"/>
      <c r="G25" s="36">
        <v>0</v>
      </c>
      <c r="H25" s="36">
        <v>94501489.466999993</v>
      </c>
      <c r="I25" s="25">
        <v>0</v>
      </c>
      <c r="J25" s="3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1.25" customHeight="1">
      <c r="A26" s="21"/>
      <c r="B26" s="35"/>
      <c r="C26" s="35"/>
      <c r="D26" s="35" t="s">
        <v>171</v>
      </c>
      <c r="E26" s="35"/>
      <c r="F26" s="35"/>
      <c r="G26" s="36">
        <v>1142867613.5039999</v>
      </c>
      <c r="H26" s="36">
        <v>141932943.292</v>
      </c>
      <c r="I26" s="25">
        <v>-87.580981242714756</v>
      </c>
      <c r="J26" s="3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1.25" customHeight="1">
      <c r="A27" s="21"/>
      <c r="B27" s="35"/>
      <c r="C27" s="35"/>
      <c r="D27" s="35" t="s">
        <v>172</v>
      </c>
      <c r="E27" s="35"/>
      <c r="F27" s="35"/>
      <c r="G27" s="36">
        <v>0</v>
      </c>
      <c r="H27" s="36">
        <v>12484792.285</v>
      </c>
      <c r="I27" s="25">
        <v>0</v>
      </c>
      <c r="J27" s="3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1.25" customHeight="1">
      <c r="A28" s="21"/>
      <c r="B28" s="35"/>
      <c r="C28" s="35"/>
      <c r="D28" s="21"/>
      <c r="E28" s="35"/>
      <c r="F28" s="35"/>
      <c r="G28" s="36"/>
      <c r="H28" s="36"/>
      <c r="I28" s="25">
        <v>0</v>
      </c>
      <c r="J28" s="3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1.25" customHeight="1">
      <c r="A29" s="21"/>
      <c r="B29" s="35"/>
      <c r="C29" s="35"/>
      <c r="D29" s="35"/>
      <c r="E29" s="35"/>
      <c r="F29" s="35"/>
      <c r="G29" s="36"/>
      <c r="H29" s="36"/>
      <c r="I29" s="30"/>
      <c r="J29" s="3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1.25" customHeight="1">
      <c r="A30" s="37"/>
      <c r="B30" s="33"/>
      <c r="C30" s="33" t="s">
        <v>173</v>
      </c>
      <c r="D30" s="33"/>
      <c r="E30" s="33"/>
      <c r="F30" s="33"/>
      <c r="G30" s="34">
        <v>215194110</v>
      </c>
      <c r="H30" s="34">
        <v>271077265</v>
      </c>
      <c r="I30" s="30">
        <v>25.968719589955324</v>
      </c>
      <c r="J30" s="31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1.25" customHeight="1">
      <c r="A31" s="21"/>
      <c r="B31" s="35"/>
      <c r="C31" s="35"/>
      <c r="D31" s="35" t="s">
        <v>174</v>
      </c>
      <c r="E31" s="35"/>
      <c r="F31" s="35"/>
      <c r="G31" s="36">
        <v>121795614</v>
      </c>
      <c r="H31" s="36">
        <v>158957150</v>
      </c>
      <c r="I31" s="25">
        <v>30.511390993110798</v>
      </c>
      <c r="J31" s="3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1.25" customHeight="1">
      <c r="A32" s="21"/>
      <c r="B32" s="35"/>
      <c r="C32" s="35"/>
      <c r="D32" s="35" t="s">
        <v>175</v>
      </c>
      <c r="E32" s="35"/>
      <c r="F32" s="35"/>
      <c r="G32" s="36">
        <v>93398496</v>
      </c>
      <c r="H32" s="36">
        <v>112120115</v>
      </c>
      <c r="I32" s="25">
        <v>20.044882735584956</v>
      </c>
      <c r="J32" s="3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1.25" customHeight="1">
      <c r="A33" s="18"/>
      <c r="B33" s="32"/>
      <c r="C33" s="32"/>
      <c r="D33" s="32"/>
      <c r="E33" s="32"/>
      <c r="F33" s="32"/>
      <c r="G33" s="24"/>
      <c r="H33" s="24"/>
      <c r="I33" s="30"/>
      <c r="J33" s="31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1.25" customHeight="1">
      <c r="A34" s="18"/>
      <c r="B34" s="28" t="s">
        <v>176</v>
      </c>
      <c r="C34" s="28"/>
      <c r="D34" s="28"/>
      <c r="E34" s="28"/>
      <c r="F34" s="28"/>
      <c r="G34" s="29">
        <v>196904642.93800002</v>
      </c>
      <c r="H34" s="29">
        <v>100302043.601</v>
      </c>
      <c r="I34" s="30">
        <v>-49.060600042538148</v>
      </c>
      <c r="J34" s="31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1.25" customHeight="1">
      <c r="A35" s="37"/>
      <c r="B35" s="33"/>
      <c r="C35" s="33" t="s">
        <v>161</v>
      </c>
      <c r="D35" s="33"/>
      <c r="E35" s="33"/>
      <c r="F35" s="33"/>
      <c r="G35" s="34">
        <v>120800476.93800001</v>
      </c>
      <c r="H35" s="34">
        <v>100302043.601</v>
      </c>
      <c r="I35" s="30">
        <v>-16.968834773326837</v>
      </c>
      <c r="J35" s="31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1.25" customHeight="1">
      <c r="A36" s="21"/>
      <c r="B36" s="35"/>
      <c r="C36" s="35"/>
      <c r="D36" s="35" t="s">
        <v>177</v>
      </c>
      <c r="E36" s="35"/>
      <c r="F36" s="35"/>
      <c r="G36" s="36">
        <v>116565057.48</v>
      </c>
      <c r="H36" s="36">
        <v>95223863.032000005</v>
      </c>
      <c r="I36" s="25">
        <v>-18.308397824675438</v>
      </c>
      <c r="J36" s="3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1.25" customHeight="1">
      <c r="A37" s="21"/>
      <c r="B37" s="35"/>
      <c r="C37" s="35"/>
      <c r="D37" s="35" t="s">
        <v>178</v>
      </c>
      <c r="E37" s="35"/>
      <c r="F37" s="35"/>
      <c r="G37" s="36">
        <v>2659274.8679999998</v>
      </c>
      <c r="H37" s="36">
        <v>3058621.2769999998</v>
      </c>
      <c r="I37" s="25">
        <v>15.017116651064445</v>
      </c>
      <c r="J37" s="3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1.25" customHeight="1">
      <c r="A38" s="21"/>
      <c r="B38" s="35"/>
      <c r="C38" s="35"/>
      <c r="D38" s="35" t="s">
        <v>179</v>
      </c>
      <c r="E38" s="35"/>
      <c r="F38" s="35"/>
      <c r="G38" s="36">
        <v>1576144.59</v>
      </c>
      <c r="H38" s="36">
        <v>2019559.2919999999</v>
      </c>
      <c r="I38" s="25">
        <v>28.132869586539645</v>
      </c>
      <c r="J38" s="3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1.25" customHeight="1">
      <c r="A39" s="21"/>
      <c r="B39" s="35"/>
      <c r="C39" s="35"/>
      <c r="D39" s="35"/>
      <c r="E39" s="35"/>
      <c r="F39" s="35"/>
      <c r="G39" s="36"/>
      <c r="H39" s="36"/>
      <c r="I39" s="30"/>
      <c r="J39" s="3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1.25" customHeight="1">
      <c r="A40" s="21"/>
      <c r="B40" s="35"/>
      <c r="C40" s="33" t="s">
        <v>161</v>
      </c>
      <c r="D40" s="35"/>
      <c r="E40" s="35"/>
      <c r="F40" s="35"/>
      <c r="G40" s="34">
        <v>76104166</v>
      </c>
      <c r="H40" s="34">
        <v>0</v>
      </c>
      <c r="I40" s="30">
        <v>-100</v>
      </c>
      <c r="J40" s="3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1.25" customHeight="1">
      <c r="A41" s="21"/>
      <c r="B41" s="35"/>
      <c r="C41" s="35"/>
      <c r="D41" s="35" t="s">
        <v>180</v>
      </c>
      <c r="E41" s="35"/>
      <c r="F41" s="35"/>
      <c r="G41" s="36">
        <v>76104166</v>
      </c>
      <c r="H41" s="36">
        <v>0</v>
      </c>
      <c r="I41" s="25">
        <v>-100</v>
      </c>
      <c r="J41" s="3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1.25" customHeight="1">
      <c r="A42" s="21"/>
      <c r="B42" s="35"/>
      <c r="C42" s="35"/>
      <c r="D42" s="35"/>
      <c r="E42" s="35"/>
      <c r="F42" s="35"/>
      <c r="G42" s="36"/>
      <c r="H42" s="36"/>
      <c r="I42" s="30"/>
      <c r="J42" s="3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1.25" customHeight="1">
      <c r="A43" s="18"/>
      <c r="B43" s="32"/>
      <c r="C43" s="32"/>
      <c r="D43" s="32"/>
      <c r="E43" s="32"/>
      <c r="F43" s="32"/>
      <c r="G43" s="24"/>
      <c r="H43" s="24"/>
      <c r="I43" s="30"/>
      <c r="J43" s="31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1.25" customHeight="1">
      <c r="A44" s="18"/>
      <c r="B44" s="28" t="s">
        <v>17</v>
      </c>
      <c r="C44" s="28"/>
      <c r="D44" s="28"/>
      <c r="E44" s="28"/>
      <c r="F44" s="28"/>
      <c r="G44" s="29">
        <v>14629640358.234739</v>
      </c>
      <c r="H44" s="29">
        <v>4657701044.4465857</v>
      </c>
      <c r="I44" s="30">
        <v>-68.162573170673625</v>
      </c>
      <c r="J44" s="31"/>
      <c r="K44" s="32">
        <v>0.44658565521240234</v>
      </c>
      <c r="L44" s="32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1.25" customHeight="1">
      <c r="A45" s="18"/>
      <c r="B45" s="28"/>
      <c r="C45" s="28"/>
      <c r="D45" s="28"/>
      <c r="E45" s="28"/>
      <c r="F45" s="28"/>
      <c r="G45" s="29"/>
      <c r="H45" s="29"/>
      <c r="I45" s="30"/>
      <c r="J45" s="31"/>
      <c r="K45" s="32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1.25" customHeight="1">
      <c r="A46" s="18"/>
      <c r="B46" s="28" t="s">
        <v>181</v>
      </c>
      <c r="C46" s="28"/>
      <c r="D46" s="28"/>
      <c r="E46" s="28"/>
      <c r="F46" s="28"/>
      <c r="G46" s="29">
        <v>427070.35483129998</v>
      </c>
      <c r="H46" s="29">
        <v>35161081.984883606</v>
      </c>
      <c r="I46" s="30">
        <v>8133.0889014230052</v>
      </c>
      <c r="J46" s="31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1.25" customHeight="1">
      <c r="A47" s="18"/>
      <c r="B47" s="28"/>
      <c r="C47" s="28"/>
      <c r="D47" s="28"/>
      <c r="E47" s="28"/>
      <c r="F47" s="28"/>
      <c r="G47" s="29"/>
      <c r="H47" s="29"/>
      <c r="I47" s="30"/>
      <c r="J47" s="31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1.25" customHeight="1">
      <c r="A48" s="26"/>
      <c r="B48" s="28" t="s">
        <v>182</v>
      </c>
      <c r="C48" s="28"/>
      <c r="D48" s="28"/>
      <c r="E48" s="28"/>
      <c r="F48" s="28"/>
      <c r="G48" s="29">
        <v>122028007.91299999</v>
      </c>
      <c r="H48" s="29">
        <v>79774281.011999995</v>
      </c>
      <c r="I48" s="30">
        <v>-34.62625312307388</v>
      </c>
      <c r="J48" s="31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1.25" customHeight="1">
      <c r="A49" s="37"/>
      <c r="B49" s="33"/>
      <c r="C49" s="33" t="s">
        <v>183</v>
      </c>
      <c r="D49" s="33"/>
      <c r="E49" s="33"/>
      <c r="F49" s="33"/>
      <c r="G49" s="34">
        <v>2777745.9309999999</v>
      </c>
      <c r="H49" s="34">
        <v>0</v>
      </c>
      <c r="I49" s="30">
        <v>-100</v>
      </c>
      <c r="J49" s="31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 ht="11.25" hidden="1" customHeight="1">
      <c r="A50" s="21"/>
      <c r="B50" s="35"/>
      <c r="C50" s="35"/>
      <c r="D50" s="35" t="s">
        <v>184</v>
      </c>
      <c r="E50" s="35"/>
      <c r="F50" s="35"/>
      <c r="G50" s="36">
        <v>0</v>
      </c>
      <c r="H50" s="36">
        <v>0</v>
      </c>
      <c r="I50" s="25">
        <v>0</v>
      </c>
      <c r="J50" s="3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1.25" customHeight="1">
      <c r="A51" s="21"/>
      <c r="B51" s="35"/>
      <c r="C51" s="35"/>
      <c r="D51" s="35" t="s">
        <v>185</v>
      </c>
      <c r="E51" s="35"/>
      <c r="F51" s="35"/>
      <c r="G51" s="36">
        <v>2777745.9309999999</v>
      </c>
      <c r="H51" s="36">
        <v>0</v>
      </c>
      <c r="I51" s="25">
        <v>-100</v>
      </c>
      <c r="J51" s="3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1.25" hidden="1" customHeight="1">
      <c r="A52" s="21"/>
      <c r="B52" s="35"/>
      <c r="C52" s="35"/>
      <c r="D52" s="35" t="s">
        <v>186</v>
      </c>
      <c r="E52" s="35"/>
      <c r="F52" s="35"/>
      <c r="G52" s="36">
        <v>0</v>
      </c>
      <c r="H52" s="36">
        <v>0</v>
      </c>
      <c r="I52" s="25">
        <v>0</v>
      </c>
      <c r="J52" s="3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1.25" customHeight="1">
      <c r="A53" s="37"/>
      <c r="B53" s="33"/>
      <c r="C53" s="33" t="s">
        <v>187</v>
      </c>
      <c r="D53" s="33"/>
      <c r="E53" s="33"/>
      <c r="F53" s="33"/>
      <c r="G53" s="34">
        <v>119250261.98199999</v>
      </c>
      <c r="H53" s="34">
        <v>79774281.011999995</v>
      </c>
      <c r="I53" s="30">
        <v>-33.103475257738744</v>
      </c>
      <c r="J53" s="31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1.25" customHeight="1">
      <c r="A54" s="21"/>
      <c r="B54" s="35"/>
      <c r="C54" s="35"/>
      <c r="D54" s="35" t="s">
        <v>188</v>
      </c>
      <c r="E54" s="35"/>
      <c r="F54" s="35"/>
      <c r="G54" s="36">
        <v>119250261.98199999</v>
      </c>
      <c r="H54" s="36">
        <v>79774281.011999995</v>
      </c>
      <c r="I54" s="25">
        <v>-33.103475257738744</v>
      </c>
      <c r="J54" s="3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1.25" customHeight="1">
      <c r="A55" s="26"/>
      <c r="B55" s="33"/>
      <c r="C55" s="33" t="s">
        <v>189</v>
      </c>
      <c r="D55" s="33"/>
      <c r="E55" s="33"/>
      <c r="F55" s="33"/>
      <c r="G55" s="34">
        <v>0</v>
      </c>
      <c r="H55" s="34">
        <v>0</v>
      </c>
      <c r="I55" s="25">
        <v>0</v>
      </c>
      <c r="J55" s="31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1.25" customHeight="1">
      <c r="A56" s="21"/>
      <c r="B56" s="35"/>
      <c r="C56" s="35"/>
      <c r="D56" s="35" t="s">
        <v>190</v>
      </c>
      <c r="E56" s="35"/>
      <c r="F56" s="35"/>
      <c r="G56" s="36">
        <v>0</v>
      </c>
      <c r="H56" s="36">
        <v>0</v>
      </c>
      <c r="I56" s="25">
        <v>0</v>
      </c>
      <c r="J56" s="3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1.25" customHeight="1">
      <c r="A57" s="21"/>
      <c r="B57" s="28"/>
      <c r="C57" s="28"/>
      <c r="D57" s="28"/>
      <c r="E57" s="28"/>
      <c r="F57" s="28"/>
      <c r="G57" s="36"/>
      <c r="H57" s="36"/>
      <c r="I57" s="30"/>
      <c r="J57" s="3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1.25" customHeight="1">
      <c r="A58" s="18"/>
      <c r="B58" s="18"/>
      <c r="C58" s="18"/>
      <c r="D58" s="18"/>
      <c r="E58" s="18"/>
      <c r="F58" s="18"/>
      <c r="G58" s="24"/>
      <c r="H58" s="24"/>
      <c r="I58" s="25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1.25" customHeight="1">
      <c r="A59" s="21"/>
      <c r="B59" s="35"/>
      <c r="C59" s="35"/>
      <c r="D59" s="35"/>
      <c r="E59" s="35"/>
      <c r="F59" s="35"/>
      <c r="G59" s="36"/>
      <c r="H59" s="36"/>
      <c r="I59" s="30"/>
      <c r="J59" s="3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1.25" customHeight="1">
      <c r="A60" s="21"/>
      <c r="B60" s="35"/>
      <c r="C60" s="35"/>
      <c r="D60" s="35"/>
      <c r="E60" s="35"/>
      <c r="F60" s="35"/>
      <c r="G60" s="36"/>
      <c r="H60" s="36"/>
      <c r="I60" s="30"/>
      <c r="J60" s="3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27" customHeight="1">
      <c r="A61" s="37"/>
      <c r="B61" s="9" t="s">
        <v>71</v>
      </c>
      <c r="C61" s="10"/>
      <c r="D61" s="10"/>
      <c r="E61" s="10"/>
      <c r="F61" s="10"/>
      <c r="G61" s="11" t="s">
        <v>72</v>
      </c>
      <c r="H61" s="11" t="s">
        <v>73</v>
      </c>
      <c r="I61" s="12" t="s">
        <v>74</v>
      </c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7.5" customHeight="1">
      <c r="A62" s="37"/>
      <c r="B62" s="38"/>
      <c r="C62" s="39"/>
      <c r="D62" s="39"/>
      <c r="E62" s="39"/>
      <c r="F62" s="39"/>
      <c r="G62" s="40"/>
      <c r="H62" s="40"/>
      <c r="I62" s="41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1.25" customHeight="1">
      <c r="A63" s="26"/>
      <c r="B63" s="28" t="s">
        <v>25</v>
      </c>
      <c r="C63" s="28"/>
      <c r="D63" s="28"/>
      <c r="E63" s="28"/>
      <c r="F63" s="28"/>
      <c r="G63" s="29">
        <v>658175285.0857991</v>
      </c>
      <c r="H63" s="29">
        <v>958187123.03403997</v>
      </c>
      <c r="I63" s="30">
        <v>45.582361529897256</v>
      </c>
      <c r="J63" s="31"/>
      <c r="K63" s="42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1.25" customHeight="1">
      <c r="A64" s="37"/>
      <c r="B64" s="33"/>
      <c r="C64" s="33" t="s">
        <v>161</v>
      </c>
      <c r="D64" s="33"/>
      <c r="E64" s="33"/>
      <c r="F64" s="33"/>
      <c r="G64" s="34">
        <v>85730169.632761106</v>
      </c>
      <c r="H64" s="34">
        <v>121626713.02500001</v>
      </c>
      <c r="I64" s="30">
        <v>41.871541309211779</v>
      </c>
      <c r="J64" s="31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1.25" customHeight="1">
      <c r="A65" s="21"/>
      <c r="B65" s="35"/>
      <c r="C65" s="35"/>
      <c r="D65" s="35" t="s">
        <v>191</v>
      </c>
      <c r="E65" s="35"/>
      <c r="F65" s="35"/>
      <c r="G65" s="36">
        <v>2842221.4217610997</v>
      </c>
      <c r="H65" s="36">
        <v>1835866.2749999999</v>
      </c>
      <c r="I65" s="25">
        <v>-35.407345080720035</v>
      </c>
      <c r="J65" s="3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1.25" customHeight="1">
      <c r="A66" s="21"/>
      <c r="B66" s="35"/>
      <c r="C66" s="35"/>
      <c r="D66" s="35" t="s">
        <v>192</v>
      </c>
      <c r="E66" s="35"/>
      <c r="F66" s="35"/>
      <c r="G66" s="36">
        <v>8537920.2440000009</v>
      </c>
      <c r="H66" s="36">
        <v>13127316.23</v>
      </c>
      <c r="I66" s="25">
        <v>53.753090387851586</v>
      </c>
      <c r="J66" s="3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1.25" hidden="1" customHeight="1">
      <c r="A67" s="21"/>
      <c r="B67" s="35"/>
      <c r="C67" s="35"/>
      <c r="D67" s="35" t="s">
        <v>193</v>
      </c>
      <c r="E67" s="35"/>
      <c r="F67" s="35"/>
      <c r="G67" s="36">
        <v>0</v>
      </c>
      <c r="H67" s="36">
        <v>0</v>
      </c>
      <c r="I67" s="25">
        <v>0</v>
      </c>
      <c r="J67" s="3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1.25" customHeight="1">
      <c r="A68" s="21"/>
      <c r="B68" s="35"/>
      <c r="C68" s="35"/>
      <c r="D68" s="35" t="s">
        <v>194</v>
      </c>
      <c r="E68" s="35"/>
      <c r="F68" s="35"/>
      <c r="G68" s="36">
        <v>13054823</v>
      </c>
      <c r="H68" s="36">
        <v>14844393</v>
      </c>
      <c r="I68" s="25">
        <v>13.708113851869141</v>
      </c>
      <c r="J68" s="3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1.25" customHeight="1">
      <c r="A69" s="21"/>
      <c r="B69" s="35"/>
      <c r="C69" s="35"/>
      <c r="D69" s="35" t="s">
        <v>195</v>
      </c>
      <c r="E69" s="35"/>
      <c r="F69" s="35"/>
      <c r="G69" s="36">
        <v>20350280.076000001</v>
      </c>
      <c r="H69" s="36">
        <v>17792413.342</v>
      </c>
      <c r="I69" s="25">
        <v>-12.569196711039909</v>
      </c>
      <c r="J69" s="3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1.25" hidden="1" customHeight="1">
      <c r="A70" s="21"/>
      <c r="B70" s="35"/>
      <c r="C70" s="35"/>
      <c r="D70" s="35" t="s">
        <v>196</v>
      </c>
      <c r="E70" s="35"/>
      <c r="F70" s="35"/>
      <c r="G70" s="36">
        <v>0</v>
      </c>
      <c r="H70" s="36">
        <v>0</v>
      </c>
      <c r="I70" s="25">
        <v>0</v>
      </c>
      <c r="J70" s="3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1.25" customHeight="1">
      <c r="A71" s="21"/>
      <c r="B71" s="35"/>
      <c r="C71" s="35"/>
      <c r="D71" s="35" t="s">
        <v>197</v>
      </c>
      <c r="E71" s="35"/>
      <c r="F71" s="35"/>
      <c r="G71" s="36">
        <v>26873517.824000001</v>
      </c>
      <c r="H71" s="36">
        <v>13992381.523</v>
      </c>
      <c r="I71" s="25">
        <v>-47.932453002100871</v>
      </c>
      <c r="J71" s="3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1.25" customHeight="1">
      <c r="A72" s="21"/>
      <c r="B72" s="35"/>
      <c r="C72" s="35"/>
      <c r="D72" s="35" t="s">
        <v>198</v>
      </c>
      <c r="E72" s="35"/>
      <c r="F72" s="35"/>
      <c r="G72" s="36">
        <v>3193.1610000000001</v>
      </c>
      <c r="H72" s="36">
        <v>865.34199999999998</v>
      </c>
      <c r="I72" s="25">
        <v>-72.900145028703534</v>
      </c>
      <c r="J72" s="3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1.25" hidden="1" customHeight="1">
      <c r="A73" s="21"/>
      <c r="B73" s="35"/>
      <c r="C73" s="35"/>
      <c r="D73" s="35" t="s">
        <v>199</v>
      </c>
      <c r="E73" s="35"/>
      <c r="F73" s="35"/>
      <c r="G73" s="36">
        <v>0</v>
      </c>
      <c r="H73" s="36">
        <v>0</v>
      </c>
      <c r="I73" s="25">
        <v>0</v>
      </c>
      <c r="J73" s="3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1.25" customHeight="1">
      <c r="A74" s="21"/>
      <c r="B74" s="35"/>
      <c r="C74" s="35"/>
      <c r="D74" s="35" t="s">
        <v>200</v>
      </c>
      <c r="E74" s="35"/>
      <c r="F74" s="35"/>
      <c r="G74" s="36">
        <v>7641826.9179999996</v>
      </c>
      <c r="H74" s="36">
        <v>17331689.048</v>
      </c>
      <c r="I74" s="25">
        <v>126.80033497194158</v>
      </c>
      <c r="J74" s="3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1.25" customHeight="1">
      <c r="A75" s="21"/>
      <c r="B75" s="35"/>
      <c r="C75" s="35"/>
      <c r="D75" s="35" t="s">
        <v>201</v>
      </c>
      <c r="E75" s="35"/>
      <c r="F75" s="35"/>
      <c r="G75" s="36">
        <v>6426386.9879999999</v>
      </c>
      <c r="H75" s="36">
        <v>7977588.2649999997</v>
      </c>
      <c r="I75" s="25">
        <v>24.137999779604936</v>
      </c>
      <c r="J75" s="3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1.25" customHeight="1">
      <c r="A76" s="21"/>
      <c r="B76" s="35"/>
      <c r="C76" s="35"/>
      <c r="D76" s="35" t="s">
        <v>202</v>
      </c>
      <c r="E76" s="35"/>
      <c r="F76" s="35"/>
      <c r="G76" s="36">
        <v>0</v>
      </c>
      <c r="H76" s="36">
        <v>34724200</v>
      </c>
      <c r="I76" s="25">
        <v>0</v>
      </c>
      <c r="J76" s="3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1.25" customHeight="1">
      <c r="A77" s="37"/>
      <c r="B77" s="38"/>
      <c r="C77" s="39"/>
      <c r="D77" s="39"/>
      <c r="E77" s="39"/>
      <c r="F77" s="39"/>
      <c r="G77" s="40"/>
      <c r="H77" s="40"/>
      <c r="I77" s="41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1.25" customHeight="1">
      <c r="A78" s="37"/>
      <c r="B78" s="33"/>
      <c r="C78" s="33" t="s">
        <v>173</v>
      </c>
      <c r="D78" s="33"/>
      <c r="E78" s="33"/>
      <c r="F78" s="33"/>
      <c r="G78" s="34">
        <v>241279230.62599999</v>
      </c>
      <c r="H78" s="34">
        <v>290168047.99900001</v>
      </c>
      <c r="I78" s="30">
        <v>20.262339715754973</v>
      </c>
      <c r="J78" s="31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1.25" customHeight="1">
      <c r="A79" s="21"/>
      <c r="B79" s="35"/>
      <c r="C79" s="35"/>
      <c r="D79" s="35" t="s">
        <v>203</v>
      </c>
      <c r="E79" s="35"/>
      <c r="F79" s="35"/>
      <c r="G79" s="36">
        <v>0</v>
      </c>
      <c r="H79" s="36">
        <v>0</v>
      </c>
      <c r="I79" s="30">
        <v>0</v>
      </c>
      <c r="J79" s="3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1.25" customHeight="1">
      <c r="A80" s="21"/>
      <c r="B80" s="35"/>
      <c r="C80" s="35"/>
      <c r="D80" s="35" t="s">
        <v>204</v>
      </c>
      <c r="E80" s="35"/>
      <c r="F80" s="35"/>
      <c r="G80" s="36">
        <v>645963.62600000005</v>
      </c>
      <c r="H80" s="36">
        <v>360767.37099999998</v>
      </c>
      <c r="I80" s="25">
        <v>-44.150513050714721</v>
      </c>
      <c r="J80" s="3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1.25" customHeight="1">
      <c r="A81" s="21"/>
      <c r="B81" s="35"/>
      <c r="C81" s="35"/>
      <c r="D81" s="35" t="s">
        <v>205</v>
      </c>
      <c r="E81" s="35"/>
      <c r="F81" s="35"/>
      <c r="G81" s="36">
        <v>0</v>
      </c>
      <c r="H81" s="36">
        <v>7936960</v>
      </c>
      <c r="I81" s="30">
        <v>0</v>
      </c>
      <c r="J81" s="3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1.25" customHeight="1">
      <c r="A82" s="21"/>
      <c r="B82" s="35"/>
      <c r="C82" s="35"/>
      <c r="D82" s="35" t="s">
        <v>206</v>
      </c>
      <c r="E82" s="35"/>
      <c r="F82" s="35"/>
      <c r="G82" s="36">
        <v>240633267</v>
      </c>
      <c r="H82" s="36">
        <v>281870320.62800002</v>
      </c>
      <c r="I82" s="25">
        <v>17.136888071257417</v>
      </c>
      <c r="J82" s="3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1.25" customHeight="1">
      <c r="A83" s="21"/>
      <c r="B83" s="35"/>
      <c r="C83" s="35"/>
      <c r="D83" s="35"/>
      <c r="E83" s="35"/>
      <c r="F83" s="35"/>
      <c r="G83" s="36"/>
      <c r="H83" s="36"/>
      <c r="I83" s="30"/>
      <c r="J83" s="3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1.25" customHeight="1">
      <c r="A84" s="37"/>
      <c r="B84" s="33"/>
      <c r="C84" s="33" t="s">
        <v>207</v>
      </c>
      <c r="D84" s="33"/>
      <c r="E84" s="33"/>
      <c r="F84" s="33"/>
      <c r="G84" s="34">
        <v>329832189.037</v>
      </c>
      <c r="H84" s="34">
        <v>545847770.19099998</v>
      </c>
      <c r="I84" s="30">
        <v>65.492571172235643</v>
      </c>
      <c r="J84" s="31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1.25" customHeight="1">
      <c r="A85" s="21"/>
      <c r="B85" s="35"/>
      <c r="C85" s="35"/>
      <c r="D85" s="35" t="s">
        <v>208</v>
      </c>
      <c r="E85" s="35"/>
      <c r="F85" s="35"/>
      <c r="G85" s="36">
        <v>-267460.37800000003</v>
      </c>
      <c r="H85" s="36">
        <v>-182220.46</v>
      </c>
      <c r="I85" s="25">
        <v>-31.870110495394588</v>
      </c>
      <c r="J85" s="3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1.25" customHeight="1">
      <c r="A86" s="21"/>
      <c r="B86" s="35"/>
      <c r="C86" s="35"/>
      <c r="D86" s="35" t="s">
        <v>209</v>
      </c>
      <c r="E86" s="35"/>
      <c r="F86" s="35"/>
      <c r="G86" s="36">
        <v>161695861.09400001</v>
      </c>
      <c r="H86" s="36">
        <v>253695954.361</v>
      </c>
      <c r="I86" s="25">
        <v>56.896999493089574</v>
      </c>
      <c r="J86" s="3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1.25" customHeight="1">
      <c r="A87" s="21"/>
      <c r="B87" s="35"/>
      <c r="C87" s="35"/>
      <c r="D87" s="35" t="s">
        <v>210</v>
      </c>
      <c r="E87" s="35"/>
      <c r="F87" s="35"/>
      <c r="G87" s="36">
        <v>5789402</v>
      </c>
      <c r="H87" s="36">
        <v>6938816</v>
      </c>
      <c r="I87" s="25">
        <v>19.85376037110569</v>
      </c>
      <c r="J87" s="3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1.25" customHeight="1">
      <c r="A88" s="21"/>
      <c r="B88" s="35"/>
      <c r="C88" s="35"/>
      <c r="D88" s="35" t="s">
        <v>211</v>
      </c>
      <c r="E88" s="35"/>
      <c r="F88" s="35"/>
      <c r="G88" s="36">
        <v>54928176.68</v>
      </c>
      <c r="H88" s="36">
        <v>160131347.86199999</v>
      </c>
      <c r="I88" s="25">
        <v>191.52860615580147</v>
      </c>
      <c r="J88" s="3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1.25" customHeight="1">
      <c r="A89" s="21"/>
      <c r="B89" s="35"/>
      <c r="C89" s="35"/>
      <c r="D89" s="35" t="s">
        <v>212</v>
      </c>
      <c r="E89" s="35"/>
      <c r="F89" s="35"/>
      <c r="G89" s="36">
        <v>6653546.9649999999</v>
      </c>
      <c r="H89" s="36">
        <v>5866650.0599999996</v>
      </c>
      <c r="I89" s="25">
        <v>-11.826728046549528</v>
      </c>
      <c r="J89" s="3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1.25" customHeight="1">
      <c r="A90" s="21"/>
      <c r="B90" s="35"/>
      <c r="C90" s="35"/>
      <c r="D90" s="35" t="s">
        <v>213</v>
      </c>
      <c r="E90" s="35"/>
      <c r="F90" s="35"/>
      <c r="G90" s="36">
        <v>7226346</v>
      </c>
      <c r="H90" s="36">
        <v>8133235</v>
      </c>
      <c r="I90" s="25">
        <v>12.54975889612815</v>
      </c>
      <c r="J90" s="3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1.25" customHeight="1">
      <c r="A91" s="21"/>
      <c r="B91" s="35"/>
      <c r="C91" s="35"/>
      <c r="D91" s="35" t="s">
        <v>214</v>
      </c>
      <c r="E91" s="35"/>
      <c r="F91" s="35"/>
      <c r="G91" s="36">
        <v>2060814</v>
      </c>
      <c r="H91" s="36">
        <v>1704177</v>
      </c>
      <c r="I91" s="25">
        <v>-17.305637481111834</v>
      </c>
      <c r="J91" s="3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1.25" customHeight="1">
      <c r="A92" s="21"/>
      <c r="B92" s="35"/>
      <c r="C92" s="35"/>
      <c r="D92" s="35" t="s">
        <v>215</v>
      </c>
      <c r="E92" s="35"/>
      <c r="F92" s="35"/>
      <c r="G92" s="36">
        <v>3345837</v>
      </c>
      <c r="H92" s="36">
        <v>5175702</v>
      </c>
      <c r="I92" s="25">
        <v>54.690799342586025</v>
      </c>
      <c r="J92" s="3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1.25" customHeight="1">
      <c r="A93" s="21"/>
      <c r="B93" s="35"/>
      <c r="C93" s="35"/>
      <c r="D93" s="35" t="s">
        <v>216</v>
      </c>
      <c r="E93" s="35"/>
      <c r="F93" s="35"/>
      <c r="G93" s="36">
        <v>2181059</v>
      </c>
      <c r="H93" s="36">
        <v>2649467</v>
      </c>
      <c r="I93" s="25">
        <v>21.476172813298501</v>
      </c>
      <c r="J93" s="3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1.25" customHeight="1">
      <c r="A94" s="21"/>
      <c r="B94" s="35"/>
      <c r="C94" s="35"/>
      <c r="D94" s="35" t="s">
        <v>217</v>
      </c>
      <c r="E94" s="35"/>
      <c r="F94" s="35"/>
      <c r="G94" s="36">
        <v>5768632.3700000001</v>
      </c>
      <c r="H94" s="36">
        <v>7563060.5120000001</v>
      </c>
      <c r="I94" s="25">
        <v>31.106647588291359</v>
      </c>
      <c r="J94" s="3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1.25" customHeight="1">
      <c r="A95" s="21"/>
      <c r="B95" s="35"/>
      <c r="C95" s="35"/>
      <c r="D95" s="35" t="s">
        <v>218</v>
      </c>
      <c r="E95" s="35"/>
      <c r="F95" s="35"/>
      <c r="G95" s="36">
        <v>13170395.525</v>
      </c>
      <c r="H95" s="36">
        <v>11901431.264</v>
      </c>
      <c r="I95" s="25">
        <v>-9.6349745806134415</v>
      </c>
      <c r="J95" s="3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1.25" customHeight="1">
      <c r="A96" s="21"/>
      <c r="B96" s="35"/>
      <c r="C96" s="35"/>
      <c r="D96" s="5" t="s">
        <v>219</v>
      </c>
      <c r="E96" s="35"/>
      <c r="F96" s="35"/>
      <c r="G96" s="36">
        <v>12552515</v>
      </c>
      <c r="H96" s="36">
        <v>13953630</v>
      </c>
      <c r="I96" s="25">
        <v>11.162026095965638</v>
      </c>
      <c r="J96" s="3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1.25" customHeight="1">
      <c r="A97" s="21"/>
      <c r="B97" s="35"/>
      <c r="C97" s="35"/>
      <c r="D97" s="5" t="s">
        <v>220</v>
      </c>
      <c r="E97" s="35"/>
      <c r="F97" s="35"/>
      <c r="G97" s="36">
        <v>5541966</v>
      </c>
      <c r="H97" s="36">
        <v>5987240</v>
      </c>
      <c r="I97" s="25">
        <v>8.0345855604310845</v>
      </c>
      <c r="J97" s="3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1.25" customHeight="1">
      <c r="A98" s="21"/>
      <c r="B98" s="35"/>
      <c r="C98" s="35"/>
      <c r="D98" s="5" t="s">
        <v>221</v>
      </c>
      <c r="E98" s="35"/>
      <c r="F98" s="35"/>
      <c r="G98" s="36">
        <v>3338253</v>
      </c>
      <c r="H98" s="36">
        <v>3994130</v>
      </c>
      <c r="I98" s="25">
        <v>19.647312531434856</v>
      </c>
      <c r="J98" s="3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1.25" customHeight="1">
      <c r="A99" s="21"/>
      <c r="B99" s="35"/>
      <c r="C99" s="35"/>
      <c r="D99" s="5" t="s">
        <v>222</v>
      </c>
      <c r="E99" s="35"/>
      <c r="F99" s="35"/>
      <c r="G99" s="36">
        <v>1841823.2660000001</v>
      </c>
      <c r="H99" s="36">
        <v>3146642.767</v>
      </c>
      <c r="I99" s="25">
        <v>70.843903706013876</v>
      </c>
      <c r="J99" s="3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1.25" customHeight="1">
      <c r="A100" s="21"/>
      <c r="B100" s="35"/>
      <c r="C100" s="35"/>
      <c r="D100" s="5" t="s">
        <v>223</v>
      </c>
      <c r="E100" s="35"/>
      <c r="F100" s="35"/>
      <c r="G100" s="36">
        <v>1118974.277</v>
      </c>
      <c r="H100" s="36">
        <v>1029336.388</v>
      </c>
      <c r="I100" s="25">
        <v>-8.0107193563306538</v>
      </c>
      <c r="J100" s="3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1.25" customHeight="1">
      <c r="A101" s="21"/>
      <c r="B101" s="35"/>
      <c r="C101" s="35"/>
      <c r="D101" s="5" t="s">
        <v>224</v>
      </c>
      <c r="E101" s="35"/>
      <c r="F101" s="35"/>
      <c r="G101" s="36">
        <v>20546591.059999999</v>
      </c>
      <c r="H101" s="36">
        <v>25767971.563000001</v>
      </c>
      <c r="I101" s="25">
        <v>25.412393169030167</v>
      </c>
      <c r="J101" s="3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1.25" customHeight="1">
      <c r="A102" s="21"/>
      <c r="B102" s="35"/>
      <c r="C102" s="35"/>
      <c r="D102" s="5" t="s">
        <v>225</v>
      </c>
      <c r="E102" s="35"/>
      <c r="F102" s="35"/>
      <c r="G102" s="36">
        <v>22339456.177999999</v>
      </c>
      <c r="H102" s="36">
        <v>28259196.596999999</v>
      </c>
      <c r="I102" s="25">
        <v>26.499035481578947</v>
      </c>
      <c r="J102" s="3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1.25" customHeight="1">
      <c r="A103" s="21"/>
      <c r="B103" s="35"/>
      <c r="C103" s="35"/>
      <c r="D103" s="5" t="s">
        <v>226</v>
      </c>
      <c r="E103" s="35"/>
      <c r="F103" s="35"/>
      <c r="G103" s="36">
        <v>0</v>
      </c>
      <c r="H103" s="36">
        <v>0</v>
      </c>
      <c r="I103" s="30">
        <v>0</v>
      </c>
      <c r="J103" s="3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1.25" customHeight="1">
      <c r="A104" s="21"/>
      <c r="B104" s="35"/>
      <c r="C104" s="35"/>
      <c r="D104" s="5" t="s">
        <v>227</v>
      </c>
      <c r="E104" s="35"/>
      <c r="F104" s="35"/>
      <c r="G104" s="36">
        <v>0</v>
      </c>
      <c r="H104" s="36">
        <v>0</v>
      </c>
      <c r="I104" s="30">
        <v>0</v>
      </c>
      <c r="J104" s="3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1.25" customHeight="1">
      <c r="A105" s="21"/>
      <c r="B105" s="35"/>
      <c r="C105" s="35"/>
      <c r="D105" s="5" t="s">
        <v>228</v>
      </c>
      <c r="E105" s="35"/>
      <c r="F105" s="35"/>
      <c r="G105" s="36">
        <v>0</v>
      </c>
      <c r="H105" s="36">
        <v>132002.277</v>
      </c>
      <c r="I105" s="30">
        <v>0</v>
      </c>
      <c r="J105" s="3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1.25" customHeight="1">
      <c r="A106" s="21"/>
      <c r="B106" s="35"/>
      <c r="C106" s="35"/>
      <c r="D106" s="5"/>
      <c r="E106" s="35"/>
      <c r="F106" s="35"/>
      <c r="G106" s="36"/>
      <c r="H106" s="36"/>
      <c r="I106" s="30"/>
      <c r="J106" s="3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1.25" customHeight="1">
      <c r="A107" s="26"/>
      <c r="B107" s="33"/>
      <c r="C107" s="33" t="s">
        <v>229</v>
      </c>
      <c r="D107" s="33"/>
      <c r="E107" s="33"/>
      <c r="F107" s="33"/>
      <c r="G107" s="34">
        <v>1333695.7900379999</v>
      </c>
      <c r="H107" s="34">
        <v>544591.81903999997</v>
      </c>
      <c r="I107" s="30">
        <v>-59.166713795768722</v>
      </c>
      <c r="J107" s="31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1.25" customHeight="1">
      <c r="A108" s="18"/>
      <c r="B108" s="32"/>
      <c r="C108" s="32"/>
      <c r="D108" s="32"/>
      <c r="E108" s="32"/>
      <c r="F108" s="32"/>
      <c r="G108" s="24"/>
      <c r="H108" s="24"/>
      <c r="I108" s="30"/>
      <c r="J108" s="31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1.25" customHeight="1">
      <c r="A109" s="21"/>
      <c r="B109" s="28" t="s">
        <v>230</v>
      </c>
      <c r="C109" s="28"/>
      <c r="D109" s="28"/>
      <c r="E109" s="28"/>
      <c r="F109" s="28"/>
      <c r="G109" s="29">
        <v>200214058.77399999</v>
      </c>
      <c r="H109" s="29">
        <v>172932147.984</v>
      </c>
      <c r="I109" s="30">
        <v>-13.626371173462692</v>
      </c>
      <c r="J109" s="3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1.25" customHeight="1">
      <c r="A110" s="37"/>
      <c r="B110" s="33"/>
      <c r="C110" s="33" t="s">
        <v>231</v>
      </c>
      <c r="D110" s="33"/>
      <c r="E110" s="33"/>
      <c r="F110" s="33"/>
      <c r="G110" s="34">
        <v>200214058.77399999</v>
      </c>
      <c r="H110" s="34">
        <v>172932147.984</v>
      </c>
      <c r="I110" s="30">
        <v>-13.626371173462692</v>
      </c>
      <c r="J110" s="31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1.25" customHeight="1">
      <c r="A111" s="21"/>
      <c r="B111" s="35"/>
      <c r="C111" s="35"/>
      <c r="D111" s="35" t="s">
        <v>232</v>
      </c>
      <c r="E111" s="35"/>
      <c r="F111" s="35"/>
      <c r="G111" s="36">
        <v>200214058.77399999</v>
      </c>
      <c r="H111" s="36">
        <v>172932147.984</v>
      </c>
      <c r="I111" s="25">
        <v>-13.626371173462692</v>
      </c>
      <c r="J111" s="3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1.25" customHeight="1">
      <c r="A112" s="21"/>
      <c r="B112" s="35"/>
      <c r="C112" s="35"/>
      <c r="D112" s="35" t="s">
        <v>233</v>
      </c>
      <c r="E112" s="35"/>
      <c r="F112" s="35"/>
      <c r="G112" s="36">
        <v>0</v>
      </c>
      <c r="H112" s="36">
        <v>0</v>
      </c>
      <c r="I112" s="30">
        <v>0</v>
      </c>
      <c r="J112" s="3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1.25" customHeight="1">
      <c r="A113" s="21"/>
      <c r="B113" s="35"/>
      <c r="C113" s="35"/>
      <c r="D113" s="35"/>
      <c r="E113" s="35"/>
      <c r="F113" s="35"/>
      <c r="G113" s="36"/>
      <c r="H113" s="36"/>
      <c r="I113" s="30"/>
      <c r="J113" s="3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1.25" customHeight="1">
      <c r="A114" s="26"/>
      <c r="B114" s="33"/>
      <c r="C114" s="33" t="s">
        <v>234</v>
      </c>
      <c r="D114" s="33"/>
      <c r="E114" s="33"/>
      <c r="F114" s="33"/>
      <c r="G114" s="34">
        <v>0</v>
      </c>
      <c r="H114" s="34">
        <v>0</v>
      </c>
      <c r="I114" s="30">
        <v>0</v>
      </c>
      <c r="J114" s="31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1.25" customHeight="1">
      <c r="A115" s="18"/>
      <c r="B115" s="32"/>
      <c r="C115" s="32"/>
      <c r="D115" s="32"/>
      <c r="E115" s="32"/>
      <c r="F115" s="32"/>
      <c r="G115" s="24"/>
      <c r="H115" s="24"/>
      <c r="I115" s="30"/>
      <c r="J115" s="31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1.25" customHeight="1">
      <c r="A116" s="21"/>
      <c r="B116" s="28" t="s">
        <v>235</v>
      </c>
      <c r="C116" s="28"/>
      <c r="D116" s="28"/>
      <c r="E116" s="28"/>
      <c r="F116" s="28"/>
      <c r="G116" s="29">
        <v>2759421294.2154179</v>
      </c>
      <c r="H116" s="29">
        <v>772656494.73466253</v>
      </c>
      <c r="I116" s="43">
        <v>-71.999328397067003</v>
      </c>
      <c r="J116" s="3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1.25" customHeight="1">
      <c r="A117" s="21"/>
      <c r="B117" s="35"/>
      <c r="C117" s="35" t="s">
        <v>236</v>
      </c>
      <c r="D117" s="35"/>
      <c r="E117" s="35"/>
      <c r="F117" s="35"/>
      <c r="G117" s="36">
        <v>2021118374.6580381</v>
      </c>
      <c r="H117" s="36">
        <v>-256356038.71697336</v>
      </c>
      <c r="I117" s="25">
        <v>-112.68387057043839</v>
      </c>
      <c r="J117" s="3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1.25" customHeight="1">
      <c r="A118" s="18"/>
      <c r="B118" s="35"/>
      <c r="C118" s="35" t="s">
        <v>237</v>
      </c>
      <c r="D118" s="35"/>
      <c r="E118" s="35"/>
      <c r="F118" s="35"/>
      <c r="G118" s="36">
        <v>738302919.55737972</v>
      </c>
      <c r="H118" s="36">
        <v>1029012533.4516358</v>
      </c>
      <c r="I118" s="25">
        <v>39.375384573657058</v>
      </c>
      <c r="J118" s="31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1.25" hidden="1" customHeight="1">
      <c r="A119" s="18"/>
      <c r="B119" s="35"/>
      <c r="C119" s="35" t="s">
        <v>238</v>
      </c>
      <c r="D119" s="35"/>
      <c r="E119" s="35"/>
      <c r="F119" s="35"/>
      <c r="G119" s="36">
        <v>0</v>
      </c>
      <c r="H119" s="36">
        <v>0</v>
      </c>
      <c r="I119" s="30">
        <v>0</v>
      </c>
      <c r="J119" s="31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1.25" customHeight="1">
      <c r="A120" s="21"/>
      <c r="B120" s="28"/>
      <c r="C120" s="28"/>
      <c r="D120" s="28"/>
      <c r="E120" s="28"/>
      <c r="F120" s="28"/>
      <c r="G120" s="29"/>
      <c r="H120" s="29"/>
      <c r="I120" s="30"/>
      <c r="J120" s="3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1.25" customHeight="1">
      <c r="A121" s="21"/>
      <c r="B121" s="28" t="s">
        <v>239</v>
      </c>
      <c r="C121" s="28"/>
      <c r="D121" s="28"/>
      <c r="E121" s="28"/>
      <c r="F121" s="28"/>
      <c r="G121" s="29">
        <v>-492.37400000000002</v>
      </c>
      <c r="H121" s="29">
        <v>2909.556</v>
      </c>
      <c r="I121" s="43">
        <v>-690.92397242746358</v>
      </c>
      <c r="J121" s="3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1.25" customHeight="1">
      <c r="A122" s="21"/>
      <c r="B122" s="35"/>
      <c r="C122" s="35" t="s">
        <v>240</v>
      </c>
      <c r="D122" s="35"/>
      <c r="E122" s="28"/>
      <c r="F122" s="28"/>
      <c r="G122" s="36">
        <v>-492.37400000000002</v>
      </c>
      <c r="H122" s="36">
        <v>2909.556</v>
      </c>
      <c r="I122" s="25">
        <v>-690.92397242746358</v>
      </c>
      <c r="J122" s="3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1.25" customHeight="1">
      <c r="A123" s="21"/>
      <c r="B123" s="28"/>
      <c r="C123" s="28"/>
      <c r="D123" s="28"/>
      <c r="E123" s="28"/>
      <c r="F123" s="28"/>
      <c r="G123" s="29"/>
      <c r="H123" s="29"/>
      <c r="I123" s="30"/>
      <c r="J123" s="3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1.25" customHeight="1">
      <c r="A124" s="26"/>
      <c r="B124" s="28" t="s">
        <v>241</v>
      </c>
      <c r="C124" s="28"/>
      <c r="D124" s="28"/>
      <c r="E124" s="28"/>
      <c r="F124" s="28"/>
      <c r="G124" s="29">
        <v>10889375134.265692</v>
      </c>
      <c r="H124" s="29">
        <v>2638987006.1409998</v>
      </c>
      <c r="I124" s="30">
        <v>-75.765487242359058</v>
      </c>
      <c r="J124" s="31"/>
      <c r="K124" s="42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1.25" customHeight="1">
      <c r="A125" s="26"/>
      <c r="B125" s="28"/>
      <c r="C125" s="44" t="s">
        <v>242</v>
      </c>
      <c r="D125" s="44"/>
      <c r="E125" s="28"/>
      <c r="F125" s="28"/>
      <c r="G125" s="34">
        <v>0</v>
      </c>
      <c r="H125" s="34">
        <v>67966.066000000006</v>
      </c>
      <c r="I125" s="30">
        <v>0</v>
      </c>
      <c r="J125" s="31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1.25" customHeight="1">
      <c r="A126" s="26"/>
      <c r="B126" s="28"/>
      <c r="C126" s="5"/>
      <c r="D126" s="5" t="s">
        <v>243</v>
      </c>
      <c r="E126" s="28"/>
      <c r="F126" s="28"/>
      <c r="G126" s="36">
        <v>0</v>
      </c>
      <c r="H126" s="36">
        <v>67966.066000000006</v>
      </c>
      <c r="I126" s="30">
        <v>0</v>
      </c>
      <c r="J126" s="31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1.25" customHeight="1">
      <c r="A127" s="26"/>
      <c r="B127" s="28"/>
      <c r="C127" s="28"/>
      <c r="D127" s="28"/>
      <c r="E127" s="28"/>
      <c r="F127" s="28"/>
      <c r="G127" s="29"/>
      <c r="H127" s="29"/>
      <c r="I127" s="30"/>
      <c r="J127" s="31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1.25" customHeight="1">
      <c r="A128" s="18"/>
      <c r="B128" s="18"/>
      <c r="C128" s="18"/>
      <c r="D128" s="18"/>
      <c r="E128" s="18"/>
      <c r="F128" s="18"/>
      <c r="G128" s="24"/>
      <c r="H128" s="24"/>
      <c r="I128" s="25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1.25" customHeight="1">
      <c r="A129" s="18"/>
      <c r="B129" s="18"/>
      <c r="C129" s="18"/>
      <c r="D129" s="18"/>
      <c r="E129" s="18"/>
      <c r="F129" s="18"/>
      <c r="G129" s="24"/>
      <c r="H129" s="24"/>
      <c r="I129" s="25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1.25" customHeight="1">
      <c r="A130" s="18"/>
      <c r="B130" s="35"/>
      <c r="C130" s="35"/>
      <c r="D130" s="35"/>
      <c r="E130" s="35"/>
      <c r="F130" s="35"/>
      <c r="G130" s="36"/>
      <c r="H130" s="36"/>
      <c r="I130" s="30"/>
      <c r="J130" s="31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1.25" customHeight="1">
      <c r="A131" s="18"/>
      <c r="B131" s="35"/>
      <c r="C131" s="35"/>
      <c r="D131" s="35"/>
      <c r="E131" s="35"/>
      <c r="F131" s="35"/>
      <c r="G131" s="36"/>
      <c r="H131" s="36"/>
      <c r="I131" s="30"/>
      <c r="J131" s="31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1.25" customHeight="1">
      <c r="A132" s="18"/>
      <c r="B132" s="35"/>
      <c r="C132" s="35"/>
      <c r="D132" s="35"/>
      <c r="E132" s="35"/>
      <c r="F132" s="35"/>
      <c r="G132" s="36"/>
      <c r="H132" s="36"/>
      <c r="I132" s="30"/>
      <c r="J132" s="31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26.25" customHeight="1">
      <c r="A133" s="18"/>
      <c r="B133" s="9" t="s">
        <v>71</v>
      </c>
      <c r="C133" s="10"/>
      <c r="D133" s="10"/>
      <c r="E133" s="10"/>
      <c r="F133" s="10"/>
      <c r="G133" s="11" t="s">
        <v>72</v>
      </c>
      <c r="H133" s="11" t="s">
        <v>73</v>
      </c>
      <c r="I133" s="12" t="s">
        <v>74</v>
      </c>
      <c r="J133" s="31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8.25" customHeight="1">
      <c r="A134" s="18"/>
      <c r="B134" s="38"/>
      <c r="C134" s="39"/>
      <c r="D134" s="39"/>
      <c r="E134" s="39"/>
      <c r="F134" s="39"/>
      <c r="G134" s="40"/>
      <c r="H134" s="40"/>
      <c r="I134" s="41"/>
      <c r="J134" s="31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1.25" customHeight="1">
      <c r="A135" s="37"/>
      <c r="B135" s="33"/>
      <c r="C135" s="33" t="s">
        <v>244</v>
      </c>
      <c r="D135" s="33"/>
      <c r="E135" s="33"/>
      <c r="F135" s="33"/>
      <c r="G135" s="34">
        <v>10816941125.961691</v>
      </c>
      <c r="H135" s="34">
        <v>2537975082.7179999</v>
      </c>
      <c r="I135" s="30">
        <v>-76.537035256421831</v>
      </c>
      <c r="J135" s="31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1.25" customHeight="1">
      <c r="A136" s="21"/>
      <c r="B136" s="35"/>
      <c r="C136" s="35"/>
      <c r="D136" s="35" t="s">
        <v>245</v>
      </c>
      <c r="E136" s="35"/>
      <c r="F136" s="35"/>
      <c r="G136" s="36">
        <v>19162899</v>
      </c>
      <c r="H136" s="36">
        <v>29661580</v>
      </c>
      <c r="I136" s="25">
        <v>0</v>
      </c>
      <c r="J136" s="3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1.25" customHeight="1">
      <c r="A137" s="21"/>
      <c r="B137" s="35"/>
      <c r="C137" s="35"/>
      <c r="D137" s="35" t="s">
        <v>246</v>
      </c>
      <c r="E137" s="35"/>
      <c r="F137" s="35"/>
      <c r="G137" s="36">
        <v>4929711</v>
      </c>
      <c r="H137" s="36">
        <v>1139700</v>
      </c>
      <c r="I137" s="25">
        <v>-76.880997689316871</v>
      </c>
      <c r="J137" s="3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1.25" customHeight="1">
      <c r="A138" s="21"/>
      <c r="B138" s="35"/>
      <c r="C138" s="35"/>
      <c r="D138" s="35" t="s">
        <v>247</v>
      </c>
      <c r="E138" s="35"/>
      <c r="F138" s="35"/>
      <c r="G138" s="36">
        <v>82669243</v>
      </c>
      <c r="H138" s="36">
        <v>104711836</v>
      </c>
      <c r="I138" s="25">
        <v>26.66359603655739</v>
      </c>
      <c r="J138" s="3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1.25" customHeight="1">
      <c r="A139" s="21"/>
      <c r="B139" s="35"/>
      <c r="C139" s="35"/>
      <c r="D139" s="35" t="s">
        <v>248</v>
      </c>
      <c r="E139" s="35"/>
      <c r="F139" s="35"/>
      <c r="G139" s="36">
        <v>508408742</v>
      </c>
      <c r="H139" s="36">
        <v>580222333</v>
      </c>
      <c r="I139" s="25">
        <v>14.125168406329248</v>
      </c>
      <c r="J139" s="3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1.25" customHeight="1">
      <c r="A140" s="21"/>
      <c r="B140" s="35"/>
      <c r="C140" s="35"/>
      <c r="D140" s="35" t="s">
        <v>249</v>
      </c>
      <c r="E140" s="35"/>
      <c r="F140" s="35"/>
      <c r="G140" s="36">
        <v>39598231</v>
      </c>
      <c r="H140" s="36">
        <v>42074090.795999996</v>
      </c>
      <c r="I140" s="25">
        <v>6.2524505097209859</v>
      </c>
      <c r="J140" s="3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1.25" customHeight="1">
      <c r="A141" s="21"/>
      <c r="B141" s="35"/>
      <c r="C141" s="35"/>
      <c r="D141" s="35" t="s">
        <v>250</v>
      </c>
      <c r="E141" s="35"/>
      <c r="F141" s="35"/>
      <c r="G141" s="36"/>
      <c r="H141" s="36">
        <v>588197.93799999997</v>
      </c>
      <c r="I141" s="25">
        <v>0</v>
      </c>
      <c r="J141" s="3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1.25" customHeight="1">
      <c r="A142" s="21"/>
      <c r="B142" s="35"/>
      <c r="C142" s="35"/>
      <c r="D142" s="35" t="s">
        <v>251</v>
      </c>
      <c r="E142" s="35"/>
      <c r="F142" s="35"/>
      <c r="G142" s="36">
        <v>188255</v>
      </c>
      <c r="H142" s="36">
        <v>237179</v>
      </c>
      <c r="I142" s="25">
        <v>25.988154365089898</v>
      </c>
      <c r="J142" s="3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1.25" customHeight="1">
      <c r="A143" s="21"/>
      <c r="B143" s="35"/>
      <c r="C143" s="35"/>
      <c r="D143" s="35" t="s">
        <v>252</v>
      </c>
      <c r="E143" s="35"/>
      <c r="F143" s="35"/>
      <c r="G143" s="36">
        <v>397176880</v>
      </c>
      <c r="H143" s="36">
        <v>436975989</v>
      </c>
      <c r="I143" s="25">
        <v>10.020499934437277</v>
      </c>
      <c r="J143" s="3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1.25" customHeight="1">
      <c r="A144" s="21"/>
      <c r="B144" s="35"/>
      <c r="C144" s="35"/>
      <c r="D144" s="35" t="s">
        <v>253</v>
      </c>
      <c r="E144" s="35"/>
      <c r="F144" s="35"/>
      <c r="G144" s="36">
        <v>138458312</v>
      </c>
      <c r="H144" s="36">
        <v>147256584.984</v>
      </c>
      <c r="I144" s="25">
        <v>6.354456339175929</v>
      </c>
      <c r="J144" s="3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1.25" customHeight="1">
      <c r="A145" s="21"/>
      <c r="B145" s="35"/>
      <c r="C145" s="35"/>
      <c r="D145" s="35" t="s">
        <v>254</v>
      </c>
      <c r="E145" s="35"/>
      <c r="F145" s="35"/>
      <c r="G145" s="36">
        <v>8703777</v>
      </c>
      <c r="H145" s="36">
        <v>9670729</v>
      </c>
      <c r="I145" s="25">
        <v>0</v>
      </c>
      <c r="J145" s="3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1.25" customHeight="1">
      <c r="A146" s="18"/>
      <c r="B146" s="35"/>
      <c r="C146" s="35"/>
      <c r="D146" s="35" t="s">
        <v>255</v>
      </c>
      <c r="E146" s="35"/>
      <c r="F146" s="35"/>
      <c r="G146" s="36">
        <v>22014672</v>
      </c>
      <c r="H146" s="36">
        <v>35898009</v>
      </c>
      <c r="I146" s="25">
        <v>63.064019304943542</v>
      </c>
      <c r="J146" s="31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1.25" customHeight="1">
      <c r="A147" s="18"/>
      <c r="B147" s="35"/>
      <c r="C147" s="35"/>
      <c r="D147" s="35" t="s">
        <v>256</v>
      </c>
      <c r="E147" s="35"/>
      <c r="F147" s="35"/>
      <c r="G147" s="36">
        <v>4723280</v>
      </c>
      <c r="H147" s="36">
        <v>3227698</v>
      </c>
      <c r="I147" s="25">
        <v>-31.66405548686506</v>
      </c>
      <c r="J147" s="31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1.25" customHeight="1">
      <c r="A148" s="18"/>
      <c r="B148" s="35"/>
      <c r="C148" s="35"/>
      <c r="D148" s="35" t="s">
        <v>257</v>
      </c>
      <c r="E148" s="35"/>
      <c r="F148" s="35"/>
      <c r="G148" s="36">
        <v>456870608.02069151</v>
      </c>
      <c r="H148" s="36">
        <v>0</v>
      </c>
      <c r="I148" s="25">
        <v>-100</v>
      </c>
      <c r="J148" s="31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1.25" customHeight="1">
      <c r="A149" s="18"/>
      <c r="B149" s="35"/>
      <c r="C149" s="35"/>
      <c r="D149" s="35" t="s">
        <v>258</v>
      </c>
      <c r="E149" s="35"/>
      <c r="F149" s="35"/>
      <c r="G149" s="36">
        <v>5155083127</v>
      </c>
      <c r="H149" s="36">
        <v>0</v>
      </c>
      <c r="I149" s="25">
        <v>-100</v>
      </c>
      <c r="J149" s="31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1.25" customHeight="1">
      <c r="A150" s="18"/>
      <c r="B150" s="35"/>
      <c r="C150" s="35"/>
      <c r="D150" s="35" t="s">
        <v>259</v>
      </c>
      <c r="E150" s="35"/>
      <c r="F150" s="35"/>
      <c r="G150" s="36">
        <v>904015456</v>
      </c>
      <c r="H150" s="36">
        <v>976993281</v>
      </c>
      <c r="I150" s="25">
        <v>8.0726302316671994</v>
      </c>
      <c r="J150" s="31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1.25" customHeight="1">
      <c r="A151" s="18"/>
      <c r="B151" s="35"/>
      <c r="C151" s="35"/>
      <c r="D151" s="35" t="s">
        <v>260</v>
      </c>
      <c r="E151" s="35"/>
      <c r="F151" s="35"/>
      <c r="G151" s="36">
        <v>3062247025.941</v>
      </c>
      <c r="H151" s="36">
        <v>0</v>
      </c>
      <c r="I151" s="25">
        <v>-100</v>
      </c>
      <c r="J151" s="31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1.25" customHeight="1">
      <c r="A152" s="18"/>
      <c r="B152" s="35"/>
      <c r="C152" s="35"/>
      <c r="D152" s="35" t="s">
        <v>261</v>
      </c>
      <c r="E152" s="35"/>
      <c r="F152" s="35"/>
      <c r="G152" s="36">
        <v>12690907</v>
      </c>
      <c r="H152" s="36">
        <v>44335402</v>
      </c>
      <c r="I152" s="25">
        <v>249.3477810530012</v>
      </c>
      <c r="J152" s="31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1.25" customHeight="1">
      <c r="A153" s="18"/>
      <c r="B153" s="35"/>
      <c r="C153" s="35"/>
      <c r="D153" s="35" t="s">
        <v>262</v>
      </c>
      <c r="E153" s="35"/>
      <c r="F153" s="35"/>
      <c r="G153" s="36">
        <v>0</v>
      </c>
      <c r="H153" s="36">
        <v>122329819</v>
      </c>
      <c r="I153" s="25">
        <v>0</v>
      </c>
      <c r="J153" s="31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1.25" customHeight="1">
      <c r="A154" s="18"/>
      <c r="B154" s="35"/>
      <c r="C154" s="35"/>
      <c r="D154" s="35" t="s">
        <v>263</v>
      </c>
      <c r="E154" s="35"/>
      <c r="F154" s="35"/>
      <c r="G154" s="36">
        <v>0</v>
      </c>
      <c r="H154" s="36">
        <v>2652654</v>
      </c>
      <c r="I154" s="25">
        <v>0</v>
      </c>
      <c r="J154" s="31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1.25" customHeight="1">
      <c r="A155" s="18"/>
      <c r="B155" s="38"/>
      <c r="C155" s="39"/>
      <c r="D155" s="39"/>
      <c r="E155" s="39"/>
      <c r="F155" s="39"/>
      <c r="G155" s="40"/>
      <c r="H155" s="40"/>
      <c r="I155" s="41"/>
      <c r="J155" s="31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1.25" customHeight="1">
      <c r="A156" s="37"/>
      <c r="B156" s="33"/>
      <c r="C156" s="33" t="s">
        <v>264</v>
      </c>
      <c r="D156" s="33"/>
      <c r="E156" s="33"/>
      <c r="F156" s="33"/>
      <c r="G156" s="34">
        <v>72434008.304000005</v>
      </c>
      <c r="H156" s="34">
        <v>100943957.35699999</v>
      </c>
      <c r="I156" s="30">
        <v>39.359894227233582</v>
      </c>
      <c r="J156" s="31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1.25" customHeight="1">
      <c r="A157" s="21"/>
      <c r="B157" s="35"/>
      <c r="C157" s="35"/>
      <c r="D157" s="35" t="s">
        <v>265</v>
      </c>
      <c r="E157" s="35"/>
      <c r="F157" s="35"/>
      <c r="G157" s="36">
        <v>33163149.177999999</v>
      </c>
      <c r="H157" s="36">
        <v>58004554.468999997</v>
      </c>
      <c r="I157" s="25">
        <v>74.90665364035894</v>
      </c>
      <c r="J157" s="3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1.25" customHeight="1">
      <c r="A158" s="21"/>
      <c r="B158" s="35"/>
      <c r="C158" s="35"/>
      <c r="D158" s="35" t="s">
        <v>266</v>
      </c>
      <c r="E158" s="35"/>
      <c r="F158" s="35"/>
      <c r="G158" s="36">
        <v>39270859.126000002</v>
      </c>
      <c r="H158" s="36">
        <v>42194522.057999998</v>
      </c>
      <c r="I158" s="25">
        <v>7.4448662368690854</v>
      </c>
      <c r="J158" s="3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1.25" hidden="1" customHeight="1">
      <c r="A159" s="21"/>
      <c r="B159" s="35"/>
      <c r="C159" s="35"/>
      <c r="D159" s="35" t="s">
        <v>267</v>
      </c>
      <c r="E159" s="35"/>
      <c r="F159" s="35"/>
      <c r="G159" s="36">
        <v>0</v>
      </c>
      <c r="H159" s="36">
        <v>0</v>
      </c>
      <c r="I159" s="25">
        <v>0</v>
      </c>
      <c r="J159" s="3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1.25" customHeight="1">
      <c r="A160" s="21"/>
      <c r="B160" s="35"/>
      <c r="C160" s="35"/>
      <c r="D160" s="35" t="s">
        <v>268</v>
      </c>
      <c r="E160" s="35"/>
      <c r="F160" s="35"/>
      <c r="G160" s="36">
        <v>0</v>
      </c>
      <c r="H160" s="36">
        <v>744880.83</v>
      </c>
      <c r="I160" s="30">
        <v>0</v>
      </c>
      <c r="J160" s="3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1.25" customHeight="1">
      <c r="A161" s="21"/>
      <c r="B161" s="35"/>
      <c r="C161" s="35"/>
      <c r="D161" s="35"/>
      <c r="E161" s="35"/>
      <c r="F161" s="35"/>
      <c r="G161" s="36"/>
      <c r="H161" s="36"/>
      <c r="I161" s="30"/>
      <c r="J161" s="3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1.25" customHeight="1">
      <c r="A162" s="26"/>
      <c r="B162" s="28"/>
      <c r="C162" s="28" t="s">
        <v>269</v>
      </c>
      <c r="D162" s="28"/>
      <c r="E162" s="28"/>
      <c r="F162" s="28"/>
      <c r="G162" s="29">
        <v>0</v>
      </c>
      <c r="H162" s="29">
        <v>0</v>
      </c>
      <c r="I162" s="30">
        <v>0</v>
      </c>
      <c r="J162" s="31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1.25" customHeight="1">
      <c r="A163" s="18"/>
      <c r="B163" s="28"/>
      <c r="C163" s="28"/>
      <c r="D163" s="28"/>
      <c r="E163" s="28"/>
      <c r="F163" s="28"/>
      <c r="G163" s="29"/>
      <c r="H163" s="29"/>
      <c r="I163" s="30"/>
      <c r="J163" s="31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1.25" customHeight="1">
      <c r="A164" s="18"/>
      <c r="B164" s="28"/>
      <c r="C164" s="28"/>
      <c r="D164" s="28"/>
      <c r="E164" s="28"/>
      <c r="F164" s="28"/>
      <c r="G164" s="29"/>
      <c r="H164" s="29"/>
      <c r="I164" s="30"/>
      <c r="J164" s="31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1.25" customHeight="1">
      <c r="A165" s="18"/>
      <c r="B165" s="28" t="s">
        <v>270</v>
      </c>
      <c r="C165" s="28"/>
      <c r="D165" s="28"/>
      <c r="E165" s="28"/>
      <c r="F165" s="28"/>
      <c r="G165" s="29">
        <v>5754804412.6860514</v>
      </c>
      <c r="H165" s="29">
        <v>20521812105.192577</v>
      </c>
      <c r="I165" s="30">
        <v>256.60312034156578</v>
      </c>
      <c r="J165" s="31"/>
      <c r="K165" s="45">
        <v>20521812106</v>
      </c>
      <c r="L165" s="24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1.25" customHeight="1">
      <c r="A166" s="18"/>
      <c r="B166" s="28"/>
      <c r="C166" s="28"/>
      <c r="D166" s="28"/>
      <c r="E166" s="28"/>
      <c r="F166" s="28"/>
      <c r="G166" s="29"/>
      <c r="H166" s="29"/>
      <c r="I166" s="30"/>
      <c r="J166" s="31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1.25" customHeight="1">
      <c r="A167" s="26"/>
      <c r="B167" s="28"/>
      <c r="C167" s="28" t="s">
        <v>271</v>
      </c>
      <c r="D167" s="28"/>
      <c r="E167" s="28"/>
      <c r="F167" s="28"/>
      <c r="G167" s="29">
        <v>224062405.37600002</v>
      </c>
      <c r="H167" s="29">
        <v>408120311.426</v>
      </c>
      <c r="I167" s="30">
        <v>82.145822607381035</v>
      </c>
      <c r="J167" s="31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1.25" customHeight="1">
      <c r="A168" s="18"/>
      <c r="B168" s="18"/>
      <c r="C168" s="35"/>
      <c r="D168" s="35" t="s">
        <v>272</v>
      </c>
      <c r="E168" s="35"/>
      <c r="F168" s="35"/>
      <c r="G168" s="36">
        <v>170336194.222</v>
      </c>
      <c r="H168" s="36">
        <v>339416941.23299998</v>
      </c>
      <c r="I168" s="25">
        <v>99.262959222064225</v>
      </c>
      <c r="J168" s="31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1.25" customHeight="1">
      <c r="A169" s="21"/>
      <c r="B169" s="21"/>
      <c r="C169" s="35"/>
      <c r="D169" s="35" t="s">
        <v>273</v>
      </c>
      <c r="E169" s="35"/>
      <c r="F169" s="35"/>
      <c r="G169" s="36">
        <v>33635614.321000002</v>
      </c>
      <c r="H169" s="36">
        <v>29149097.350000001</v>
      </c>
      <c r="I169" s="25">
        <v>-13.338590840598673</v>
      </c>
      <c r="J169" s="31"/>
      <c r="K169" s="36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1.25" customHeight="1">
      <c r="A170" s="21"/>
      <c r="B170" s="21"/>
      <c r="C170" s="35"/>
      <c r="D170" s="35" t="s">
        <v>274</v>
      </c>
      <c r="E170" s="35"/>
      <c r="F170" s="35"/>
      <c r="G170" s="36">
        <v>10534070.171</v>
      </c>
      <c r="H170" s="36">
        <v>11551030.283</v>
      </c>
      <c r="I170" s="25">
        <v>9.6540092812335878</v>
      </c>
      <c r="J170" s="3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1.25" customHeight="1">
      <c r="A171" s="21"/>
      <c r="B171" s="21"/>
      <c r="C171" s="35"/>
      <c r="D171" s="35" t="s">
        <v>275</v>
      </c>
      <c r="E171" s="35"/>
      <c r="F171" s="35"/>
      <c r="G171" s="36">
        <v>9230544.3310000002</v>
      </c>
      <c r="H171" s="36">
        <v>26061886.581999999</v>
      </c>
      <c r="I171" s="25">
        <v>182.34398370715107</v>
      </c>
      <c r="J171" s="3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1.25" customHeight="1">
      <c r="A172" s="18"/>
      <c r="B172" s="18"/>
      <c r="C172" s="35"/>
      <c r="D172" s="35" t="s">
        <v>276</v>
      </c>
      <c r="E172" s="35"/>
      <c r="F172" s="35"/>
      <c r="G172" s="36">
        <v>325982.33100000001</v>
      </c>
      <c r="H172" s="36">
        <v>1941355.9779999999</v>
      </c>
      <c r="I172" s="25">
        <v>495.54024662766147</v>
      </c>
      <c r="J172" s="31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1.25" customHeight="1">
      <c r="A173" s="18"/>
      <c r="B173" s="18"/>
      <c r="C173" s="28"/>
      <c r="D173" s="28"/>
      <c r="E173" s="28"/>
      <c r="F173" s="28"/>
      <c r="G173" s="29"/>
      <c r="H173" s="29"/>
      <c r="I173" s="30"/>
      <c r="J173" s="31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1.25" customHeight="1">
      <c r="A174" s="26"/>
      <c r="B174" s="26"/>
      <c r="C174" s="28" t="s">
        <v>28</v>
      </c>
      <c r="D174" s="28"/>
      <c r="E174" s="28"/>
      <c r="F174" s="28"/>
      <c r="G174" s="29">
        <v>5530742007.310051</v>
      </c>
      <c r="H174" s="29">
        <v>20113691793.766579</v>
      </c>
      <c r="I174" s="30">
        <v>263.67076546297153</v>
      </c>
      <c r="J174" s="31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1.25" customHeight="1">
      <c r="A175" s="18"/>
      <c r="B175" s="18"/>
      <c r="C175" s="35"/>
      <c r="D175" s="35" t="s">
        <v>272</v>
      </c>
      <c r="E175" s="35"/>
      <c r="F175" s="35"/>
      <c r="G175" s="36">
        <v>2564213726.5009999</v>
      </c>
      <c r="H175" s="36">
        <v>16283126108.913</v>
      </c>
      <c r="I175" s="25">
        <v>535.01438825585547</v>
      </c>
      <c r="J175" s="31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1.25" customHeight="1">
      <c r="A176" s="18"/>
      <c r="B176" s="18"/>
      <c r="C176" s="35"/>
      <c r="D176" s="35" t="s">
        <v>273</v>
      </c>
      <c r="E176" s="35"/>
      <c r="F176" s="35"/>
      <c r="G176" s="36">
        <v>387815913.09331536</v>
      </c>
      <c r="H176" s="36">
        <v>20391169.033881601</v>
      </c>
      <c r="I176" s="25">
        <v>-94.742049424626074</v>
      </c>
      <c r="J176" s="31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1.25" customHeight="1">
      <c r="A177" s="18"/>
      <c r="B177" s="18"/>
      <c r="C177" s="35"/>
      <c r="D177" s="35" t="s">
        <v>274</v>
      </c>
      <c r="E177" s="35"/>
      <c r="F177" s="35"/>
      <c r="G177" s="36">
        <v>1747674702.5420001</v>
      </c>
      <c r="H177" s="36">
        <v>2393996928.5819998</v>
      </c>
      <c r="I177" s="25">
        <v>36.981837930132031</v>
      </c>
      <c r="J177" s="31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1.25" customHeight="1">
      <c r="A178" s="18"/>
      <c r="B178" s="18"/>
      <c r="C178" s="35"/>
      <c r="D178" s="35" t="s">
        <v>275</v>
      </c>
      <c r="E178" s="35"/>
      <c r="F178" s="35"/>
      <c r="G178" s="36">
        <v>827543602.12306952</v>
      </c>
      <c r="H178" s="36">
        <v>1412780979.6469102</v>
      </c>
      <c r="I178" s="25">
        <v>70.719823828304598</v>
      </c>
      <c r="J178" s="31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1.25" customHeight="1">
      <c r="A179" s="21"/>
      <c r="B179" s="21"/>
      <c r="C179" s="35"/>
      <c r="D179" s="35" t="s">
        <v>277</v>
      </c>
      <c r="E179" s="35"/>
      <c r="F179" s="35"/>
      <c r="G179" s="36">
        <v>408449.31760089996</v>
      </c>
      <c r="H179" s="36">
        <v>914631.66979680001</v>
      </c>
      <c r="I179" s="25">
        <v>123.92782418368391</v>
      </c>
      <c r="J179" s="3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1.25" customHeight="1">
      <c r="A180" s="18"/>
      <c r="B180" s="18"/>
      <c r="C180" s="35"/>
      <c r="D180" s="35" t="s">
        <v>276</v>
      </c>
      <c r="E180" s="35"/>
      <c r="F180" s="35"/>
      <c r="G180" s="36">
        <v>3085613.7330649993</v>
      </c>
      <c r="H180" s="36">
        <v>2481975.9209900005</v>
      </c>
      <c r="I180" s="25">
        <v>-19.562973991413823</v>
      </c>
      <c r="J180" s="31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1.25" customHeight="1">
      <c r="A181" s="21"/>
      <c r="B181" s="33"/>
      <c r="C181" s="33"/>
      <c r="D181" s="33"/>
      <c r="E181" s="33"/>
      <c r="F181" s="33"/>
      <c r="G181" s="34"/>
      <c r="H181" s="36"/>
      <c r="I181" s="30"/>
      <c r="J181" s="3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1.25" customHeight="1">
      <c r="A182" s="21"/>
      <c r="B182" s="33"/>
      <c r="C182" s="33"/>
      <c r="D182" s="33"/>
      <c r="E182" s="33"/>
      <c r="F182" s="33"/>
      <c r="G182" s="34"/>
      <c r="H182" s="36"/>
      <c r="I182" s="30"/>
      <c r="J182" s="3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1.25" customHeight="1">
      <c r="A183" s="26"/>
      <c r="B183" s="28" t="s">
        <v>278</v>
      </c>
      <c r="C183" s="28"/>
      <c r="D183" s="28"/>
      <c r="E183" s="28"/>
      <c r="F183" s="28"/>
      <c r="G183" s="29">
        <v>51500394957.043976</v>
      </c>
      <c r="H183" s="29">
        <v>63273636658.945992</v>
      </c>
      <c r="I183" s="30">
        <v>22.860488180181871</v>
      </c>
      <c r="J183" s="31"/>
      <c r="K183" s="29">
        <v>-5.400848388671875E-2</v>
      </c>
      <c r="L183" s="29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1.25" customHeight="1">
      <c r="A184" s="26"/>
      <c r="B184" s="28"/>
      <c r="C184" s="28"/>
      <c r="D184" s="28"/>
      <c r="E184" s="28"/>
      <c r="F184" s="28"/>
      <c r="G184" s="29"/>
      <c r="H184" s="29"/>
      <c r="I184" s="30"/>
      <c r="J184" s="31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1.25" customHeight="1">
      <c r="A185" s="26"/>
      <c r="B185" s="28"/>
      <c r="C185" s="28" t="s">
        <v>279</v>
      </c>
      <c r="D185" s="28"/>
      <c r="E185" s="28"/>
      <c r="F185" s="28"/>
      <c r="G185" s="29">
        <v>18833927.829</v>
      </c>
      <c r="H185" s="29">
        <v>20974648.013999999</v>
      </c>
      <c r="I185" s="30">
        <v>11.366297059415142</v>
      </c>
      <c r="J185" s="31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1.25" customHeight="1">
      <c r="A186" s="21"/>
      <c r="B186" s="35"/>
      <c r="C186" s="35"/>
      <c r="D186" s="35" t="s">
        <v>280</v>
      </c>
      <c r="E186" s="35"/>
      <c r="F186" s="35"/>
      <c r="G186" s="36">
        <v>18833927.829</v>
      </c>
      <c r="H186" s="36">
        <v>20974648.013999999</v>
      </c>
      <c r="I186" s="25">
        <v>11.366297059415142</v>
      </c>
      <c r="J186" s="3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1.25" customHeight="1">
      <c r="A187" s="21"/>
      <c r="B187" s="35"/>
      <c r="C187" s="35"/>
      <c r="D187" s="35"/>
      <c r="E187" s="35"/>
      <c r="F187" s="35"/>
      <c r="G187" s="36"/>
      <c r="H187" s="36"/>
      <c r="I187" s="30"/>
      <c r="J187" s="3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1.25" customHeight="1">
      <c r="A188" s="26"/>
      <c r="B188" s="28"/>
      <c r="C188" s="28" t="s">
        <v>281</v>
      </c>
      <c r="D188" s="28"/>
      <c r="E188" s="28"/>
      <c r="F188" s="28"/>
      <c r="G188" s="29">
        <v>140824195</v>
      </c>
      <c r="H188" s="29">
        <v>161893575.579</v>
      </c>
      <c r="I188" s="30">
        <v>14.961477733993078</v>
      </c>
      <c r="J188" s="31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1.25" customHeight="1">
      <c r="A189" s="21"/>
      <c r="B189" s="35"/>
      <c r="C189" s="35"/>
      <c r="D189" s="35" t="s">
        <v>282</v>
      </c>
      <c r="E189" s="35"/>
      <c r="F189" s="35"/>
      <c r="G189" s="36">
        <v>50462255</v>
      </c>
      <c r="H189" s="36">
        <v>57490509</v>
      </c>
      <c r="I189" s="25">
        <v>13.927744608321602</v>
      </c>
      <c r="J189" s="3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1.25" customHeight="1">
      <c r="A190" s="21"/>
      <c r="B190" s="35"/>
      <c r="C190" s="35"/>
      <c r="D190" s="35" t="s">
        <v>283</v>
      </c>
      <c r="E190" s="35"/>
      <c r="F190" s="35"/>
      <c r="G190" s="36">
        <v>75141124</v>
      </c>
      <c r="H190" s="36">
        <v>87209659.578999996</v>
      </c>
      <c r="I190" s="25">
        <v>16.061159238182277</v>
      </c>
      <c r="J190" s="3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1.25" customHeight="1">
      <c r="A191" s="21"/>
      <c r="B191" s="35"/>
      <c r="C191" s="35"/>
      <c r="D191" s="35" t="s">
        <v>284</v>
      </c>
      <c r="E191" s="35"/>
      <c r="F191" s="35"/>
      <c r="G191" s="36">
        <v>13824806</v>
      </c>
      <c r="H191" s="36">
        <v>15606204</v>
      </c>
      <c r="I191" s="25">
        <v>12.885518972201137</v>
      </c>
      <c r="J191" s="3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1.25" customHeight="1">
      <c r="A192" s="21"/>
      <c r="B192" s="35"/>
      <c r="C192" s="35"/>
      <c r="D192" s="35" t="s">
        <v>285</v>
      </c>
      <c r="E192" s="35"/>
      <c r="F192" s="35"/>
      <c r="G192" s="36">
        <v>1396010</v>
      </c>
      <c r="H192" s="36">
        <v>1587203</v>
      </c>
      <c r="I192" s="25">
        <v>13.695675532410224</v>
      </c>
      <c r="J192" s="3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1.25" customHeight="1">
      <c r="A193" s="18"/>
      <c r="B193" s="35"/>
      <c r="C193" s="35"/>
      <c r="D193" s="35"/>
      <c r="E193" s="35"/>
      <c r="F193" s="35"/>
      <c r="G193" s="36"/>
      <c r="H193" s="36"/>
      <c r="I193" s="30"/>
      <c r="J193" s="31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1.25" customHeight="1">
      <c r="A194" s="26"/>
      <c r="B194" s="28"/>
      <c r="C194" s="28" t="s">
        <v>286</v>
      </c>
      <c r="D194" s="28"/>
      <c r="E194" s="28"/>
      <c r="F194" s="28"/>
      <c r="G194" s="29">
        <v>629231337</v>
      </c>
      <c r="H194" s="29">
        <v>722423208.68499994</v>
      </c>
      <c r="I194" s="30">
        <v>14.810430791529372</v>
      </c>
      <c r="J194" s="31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1.25" customHeight="1">
      <c r="A195" s="21"/>
      <c r="B195" s="35"/>
      <c r="C195" s="35"/>
      <c r="D195" s="35" t="s">
        <v>287</v>
      </c>
      <c r="E195" s="35"/>
      <c r="F195" s="35"/>
      <c r="G195" s="36">
        <v>485650600</v>
      </c>
      <c r="H195" s="36">
        <v>583080586</v>
      </c>
      <c r="I195" s="25">
        <v>20.061745213534167</v>
      </c>
      <c r="J195" s="3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1.25" customHeight="1">
      <c r="A196" s="21"/>
      <c r="B196" s="35"/>
      <c r="C196" s="35"/>
      <c r="D196" s="35" t="s">
        <v>288</v>
      </c>
      <c r="E196" s="35"/>
      <c r="F196" s="35"/>
      <c r="G196" s="36">
        <v>140334657</v>
      </c>
      <c r="H196" s="36">
        <v>135106600.61199999</v>
      </c>
      <c r="I196" s="25">
        <v>-3.7254207191314226</v>
      </c>
      <c r="J196" s="3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1.25" customHeight="1">
      <c r="A197" s="21"/>
      <c r="B197" s="35"/>
      <c r="C197" s="35"/>
      <c r="D197" s="35" t="s">
        <v>289</v>
      </c>
      <c r="E197" s="35"/>
      <c r="F197" s="35"/>
      <c r="G197" s="36">
        <v>3246080</v>
      </c>
      <c r="H197" s="36">
        <v>4236022.0729999999</v>
      </c>
      <c r="I197" s="25">
        <v>30.496539610853702</v>
      </c>
      <c r="J197" s="3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1.25" customHeight="1">
      <c r="A198" s="18"/>
      <c r="B198" s="35"/>
      <c r="C198" s="35"/>
      <c r="D198" s="35"/>
      <c r="E198" s="35"/>
      <c r="F198" s="35"/>
      <c r="G198" s="36"/>
      <c r="H198" s="36"/>
      <c r="I198" s="30"/>
      <c r="J198" s="31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1.25" customHeight="1">
      <c r="A199" s="26"/>
      <c r="B199" s="28"/>
      <c r="C199" s="28" t="s">
        <v>290</v>
      </c>
      <c r="D199" s="28"/>
      <c r="E199" s="28"/>
      <c r="F199" s="28"/>
      <c r="G199" s="29">
        <v>99150931</v>
      </c>
      <c r="H199" s="29">
        <v>116018184.867</v>
      </c>
      <c r="I199" s="30">
        <v>17.011694894725693</v>
      </c>
      <c r="J199" s="31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1.25" customHeight="1">
      <c r="A200" s="21"/>
      <c r="B200" s="35"/>
      <c r="C200" s="35"/>
      <c r="D200" s="35" t="s">
        <v>291</v>
      </c>
      <c r="E200" s="35"/>
      <c r="F200" s="35"/>
      <c r="G200" s="36">
        <v>99150931</v>
      </c>
      <c r="H200" s="36">
        <v>116018184.867</v>
      </c>
      <c r="I200" s="25">
        <v>17.011694894725693</v>
      </c>
      <c r="J200" s="3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1.25" customHeight="1">
      <c r="A201" s="21"/>
      <c r="B201" s="35"/>
      <c r="C201" s="35"/>
      <c r="D201" s="35"/>
      <c r="E201" s="35"/>
      <c r="F201" s="35"/>
      <c r="G201" s="36"/>
      <c r="H201" s="36"/>
      <c r="I201" s="30"/>
      <c r="J201" s="3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1.25" customHeight="1">
      <c r="A202" s="21"/>
      <c r="B202" s="35"/>
      <c r="C202" s="35"/>
      <c r="D202" s="35"/>
      <c r="E202" s="35"/>
      <c r="F202" s="35"/>
      <c r="G202" s="36"/>
      <c r="H202" s="36"/>
      <c r="I202" s="30"/>
      <c r="J202" s="3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1.25" customHeight="1">
      <c r="A203" s="21"/>
      <c r="B203" s="35"/>
      <c r="C203" s="35"/>
      <c r="D203" s="35"/>
      <c r="E203" s="35"/>
      <c r="F203" s="35"/>
      <c r="G203" s="36"/>
      <c r="H203" s="36"/>
      <c r="I203" s="30"/>
      <c r="J203" s="3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1.25" customHeight="1">
      <c r="A204" s="21"/>
      <c r="B204" s="35"/>
      <c r="C204" s="35"/>
      <c r="D204" s="35"/>
      <c r="E204" s="35"/>
      <c r="F204" s="35"/>
      <c r="G204" s="36"/>
      <c r="H204" s="36"/>
      <c r="I204" s="30"/>
      <c r="J204" s="3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1.25" customHeight="1">
      <c r="A205" s="21"/>
      <c r="B205" s="35"/>
      <c r="C205" s="35"/>
      <c r="D205" s="35"/>
      <c r="E205" s="35"/>
      <c r="F205" s="35"/>
      <c r="G205" s="36"/>
      <c r="H205" s="36"/>
      <c r="I205" s="30"/>
      <c r="J205" s="3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1.25" customHeight="1">
      <c r="A206" s="21"/>
      <c r="B206" s="35"/>
      <c r="C206" s="35"/>
      <c r="D206" s="35"/>
      <c r="E206" s="35"/>
      <c r="F206" s="35"/>
      <c r="G206" s="36"/>
      <c r="H206" s="36"/>
      <c r="I206" s="30"/>
      <c r="J206" s="3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27.75" customHeight="1">
      <c r="A207" s="21"/>
      <c r="B207" s="9" t="s">
        <v>71</v>
      </c>
      <c r="C207" s="10"/>
      <c r="D207" s="10"/>
      <c r="E207" s="10"/>
      <c r="F207" s="10"/>
      <c r="G207" s="11" t="s">
        <v>72</v>
      </c>
      <c r="H207" s="11" t="s">
        <v>73</v>
      </c>
      <c r="I207" s="12" t="s">
        <v>74</v>
      </c>
      <c r="J207" s="3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5.25" customHeight="1">
      <c r="A208" s="21"/>
      <c r="B208" s="35"/>
      <c r="C208" s="35"/>
      <c r="D208" s="35"/>
      <c r="E208" s="35"/>
      <c r="F208" s="35"/>
      <c r="G208" s="36"/>
      <c r="H208" s="36"/>
      <c r="I208" s="30"/>
      <c r="J208" s="3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1.25" customHeight="1">
      <c r="A209" s="21"/>
      <c r="B209" s="35"/>
      <c r="C209" s="35"/>
      <c r="D209" s="35"/>
      <c r="E209" s="35"/>
      <c r="F209" s="35"/>
      <c r="G209" s="36"/>
      <c r="H209" s="36"/>
      <c r="I209" s="30"/>
      <c r="J209" s="3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1.25" customHeight="1">
      <c r="A210" s="26"/>
      <c r="B210" s="28"/>
      <c r="C210" s="28" t="s">
        <v>292</v>
      </c>
      <c r="D210" s="28"/>
      <c r="E210" s="28"/>
      <c r="F210" s="28"/>
      <c r="G210" s="29">
        <v>3190890117.98</v>
      </c>
      <c r="H210" s="29">
        <v>2912128379.5169997</v>
      </c>
      <c r="I210" s="30">
        <v>-8.7361748025178372</v>
      </c>
      <c r="J210" s="31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1.25" customHeight="1">
      <c r="A211" s="18"/>
      <c r="B211" s="35"/>
      <c r="C211" s="35"/>
      <c r="D211" s="35" t="s">
        <v>293</v>
      </c>
      <c r="E211" s="35"/>
      <c r="F211" s="35"/>
      <c r="G211" s="36">
        <v>74741177.651999995</v>
      </c>
      <c r="H211" s="36">
        <v>74034049.033999994</v>
      </c>
      <c r="I211" s="25">
        <v>-0.94610312576615119</v>
      </c>
      <c r="J211" s="31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1.25" customHeight="1">
      <c r="A212" s="18"/>
      <c r="B212" s="35"/>
      <c r="C212" s="35"/>
      <c r="D212" s="35" t="s">
        <v>294</v>
      </c>
      <c r="E212" s="35"/>
      <c r="F212" s="35"/>
      <c r="G212" s="36">
        <v>17249223.673999999</v>
      </c>
      <c r="H212" s="36">
        <v>26624729.796999998</v>
      </c>
      <c r="I212" s="25">
        <v>54.353206267084552</v>
      </c>
      <c r="J212" s="31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1.25" customHeight="1">
      <c r="A213" s="18"/>
      <c r="B213" s="35"/>
      <c r="C213" s="35"/>
      <c r="D213" s="35" t="s">
        <v>295</v>
      </c>
      <c r="E213" s="35"/>
      <c r="F213" s="35"/>
      <c r="G213" s="36">
        <v>586072593.34300005</v>
      </c>
      <c r="H213" s="36">
        <v>363049514.796</v>
      </c>
      <c r="I213" s="25">
        <v>-38.053831740341316</v>
      </c>
      <c r="J213" s="31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1.25" customHeight="1">
      <c r="A214" s="18"/>
      <c r="B214" s="35"/>
      <c r="C214" s="35"/>
      <c r="D214" s="35" t="s">
        <v>296</v>
      </c>
      <c r="E214" s="35"/>
      <c r="F214" s="35"/>
      <c r="G214" s="36">
        <v>8356609</v>
      </c>
      <c r="H214" s="36">
        <v>9881425</v>
      </c>
      <c r="I214" s="25">
        <v>18.246827152018241</v>
      </c>
      <c r="J214" s="31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1.25" customHeight="1">
      <c r="A215" s="18"/>
      <c r="B215" s="35"/>
      <c r="C215" s="35"/>
      <c r="D215" s="35" t="s">
        <v>297</v>
      </c>
      <c r="E215" s="35"/>
      <c r="F215" s="35"/>
      <c r="G215" s="36">
        <v>46724667.336999997</v>
      </c>
      <c r="H215" s="36">
        <v>69507414.362000003</v>
      </c>
      <c r="I215" s="25">
        <v>48.759570315782575</v>
      </c>
      <c r="J215" s="31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1.25" customHeight="1">
      <c r="A216" s="18"/>
      <c r="B216" s="35"/>
      <c r="C216" s="35"/>
      <c r="D216" s="5" t="s">
        <v>298</v>
      </c>
      <c r="E216" s="35"/>
      <c r="F216" s="35"/>
      <c r="G216" s="36">
        <v>72140963.855000004</v>
      </c>
      <c r="H216" s="36">
        <v>83119575.004999995</v>
      </c>
      <c r="I216" s="25">
        <v>15.218276223847639</v>
      </c>
      <c r="J216" s="31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1.25" customHeight="1">
      <c r="A217" s="18"/>
      <c r="B217" s="35"/>
      <c r="C217" s="35"/>
      <c r="D217" s="5" t="s">
        <v>299</v>
      </c>
      <c r="E217" s="35"/>
      <c r="F217" s="35"/>
      <c r="G217" s="36">
        <v>203722113.81400001</v>
      </c>
      <c r="H217" s="36">
        <v>399586515.171</v>
      </c>
      <c r="I217" s="25">
        <v>96.142926111509837</v>
      </c>
      <c r="J217" s="31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1.25" customHeight="1">
      <c r="A218" s="18"/>
      <c r="B218" s="35"/>
      <c r="C218" s="35"/>
      <c r="D218" s="5" t="s">
        <v>300</v>
      </c>
      <c r="E218" s="35"/>
      <c r="F218" s="35"/>
      <c r="G218" s="36">
        <v>1212799973</v>
      </c>
      <c r="H218" s="36">
        <v>1382480563</v>
      </c>
      <c r="I218" s="25">
        <v>13.990814130732176</v>
      </c>
      <c r="J218" s="31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1.25" customHeight="1">
      <c r="A219" s="18"/>
      <c r="B219" s="35"/>
      <c r="C219" s="35"/>
      <c r="D219" s="5" t="s">
        <v>301</v>
      </c>
      <c r="E219" s="35"/>
      <c r="F219" s="35"/>
      <c r="G219" s="36">
        <v>407783279.509</v>
      </c>
      <c r="H219" s="36">
        <v>490672468.92900002</v>
      </c>
      <c r="I219" s="25">
        <v>20.32677492804622</v>
      </c>
      <c r="J219" s="46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1.25" customHeight="1">
      <c r="A220" s="18"/>
      <c r="B220" s="35"/>
      <c r="C220" s="35"/>
      <c r="D220" s="5" t="s">
        <v>302</v>
      </c>
      <c r="E220" s="35"/>
      <c r="F220" s="35"/>
      <c r="G220" s="36">
        <v>548443077.37399995</v>
      </c>
      <c r="H220" s="36">
        <v>4620000</v>
      </c>
      <c r="I220" s="25">
        <v>-99.157615404296649</v>
      </c>
      <c r="J220" s="46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1.25" customHeight="1">
      <c r="A221" s="18"/>
      <c r="B221" s="35"/>
      <c r="C221" s="35"/>
      <c r="D221" s="5" t="s">
        <v>303</v>
      </c>
      <c r="E221" s="35"/>
      <c r="F221" s="35"/>
      <c r="G221" s="36">
        <v>12856439.422</v>
      </c>
      <c r="H221" s="36">
        <v>8552124.4230000004</v>
      </c>
      <c r="I221" s="25">
        <v>-33.479837283987322</v>
      </c>
      <c r="J221" s="46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1.25" hidden="1" customHeight="1">
      <c r="A222" s="18"/>
      <c r="B222" s="35"/>
      <c r="C222" s="35"/>
      <c r="D222" s="35" t="s">
        <v>304</v>
      </c>
      <c r="E222" s="35"/>
      <c r="F222" s="35"/>
      <c r="G222" s="36">
        <v>0</v>
      </c>
      <c r="H222" s="36">
        <v>0</v>
      </c>
      <c r="I222" s="30" t="s">
        <v>305</v>
      </c>
      <c r="J222" s="31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1.25" hidden="1" customHeight="1">
      <c r="A223" s="18"/>
      <c r="B223" s="35"/>
      <c r="C223" s="35"/>
      <c r="D223" s="35" t="s">
        <v>306</v>
      </c>
      <c r="E223" s="35"/>
      <c r="F223" s="35"/>
      <c r="G223" s="36">
        <v>0</v>
      </c>
      <c r="H223" s="36">
        <v>0</v>
      </c>
      <c r="I223" s="30" t="s">
        <v>305</v>
      </c>
      <c r="J223" s="31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1.25" hidden="1" customHeight="1">
      <c r="A224" s="18"/>
      <c r="B224" s="35"/>
      <c r="C224" s="35"/>
      <c r="D224" s="35" t="s">
        <v>307</v>
      </c>
      <c r="E224" s="35"/>
      <c r="F224" s="35"/>
      <c r="G224" s="36">
        <v>0</v>
      </c>
      <c r="H224" s="36">
        <v>0</v>
      </c>
      <c r="I224" s="30" t="s">
        <v>305</v>
      </c>
      <c r="J224" s="31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1.25" hidden="1" customHeight="1">
      <c r="A225" s="18"/>
      <c r="B225" s="35"/>
      <c r="C225" s="35"/>
      <c r="D225" s="35" t="s">
        <v>308</v>
      </c>
      <c r="E225" s="35"/>
      <c r="F225" s="35"/>
      <c r="G225" s="36">
        <v>0</v>
      </c>
      <c r="H225" s="36">
        <v>0</v>
      </c>
      <c r="I225" s="30" t="s">
        <v>305</v>
      </c>
      <c r="J225" s="31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1.25" hidden="1" customHeight="1">
      <c r="A226" s="18"/>
      <c r="B226" s="35"/>
      <c r="C226" s="35"/>
      <c r="D226" s="35" t="s">
        <v>309</v>
      </c>
      <c r="E226" s="35"/>
      <c r="F226" s="35"/>
      <c r="G226" s="36">
        <v>0</v>
      </c>
      <c r="H226" s="36">
        <v>0</v>
      </c>
      <c r="I226" s="30" t="s">
        <v>305</v>
      </c>
      <c r="J226" s="31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1.25" hidden="1" customHeight="1">
      <c r="A227" s="18"/>
      <c r="B227" s="35"/>
      <c r="C227" s="35"/>
      <c r="D227" s="35" t="s">
        <v>310</v>
      </c>
      <c r="E227" s="35"/>
      <c r="F227" s="35"/>
      <c r="G227" s="36">
        <v>0</v>
      </c>
      <c r="H227" s="36">
        <v>0</v>
      </c>
      <c r="I227" s="30" t="s">
        <v>305</v>
      </c>
      <c r="J227" s="31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1.25" hidden="1" customHeight="1">
      <c r="A228" s="18"/>
      <c r="B228" s="35"/>
      <c r="C228" s="35"/>
      <c r="D228" s="35" t="s">
        <v>311</v>
      </c>
      <c r="E228" s="35"/>
      <c r="F228" s="35"/>
      <c r="G228" s="36">
        <v>0</v>
      </c>
      <c r="H228" s="36">
        <v>0</v>
      </c>
      <c r="I228" s="30" t="s">
        <v>305</v>
      </c>
      <c r="J228" s="31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1.25" hidden="1" customHeight="1">
      <c r="A229" s="18"/>
      <c r="B229" s="35"/>
      <c r="C229" s="35"/>
      <c r="D229" s="35" t="s">
        <v>312</v>
      </c>
      <c r="E229" s="35"/>
      <c r="F229" s="35"/>
      <c r="G229" s="36">
        <v>0</v>
      </c>
      <c r="H229" s="36">
        <v>0</v>
      </c>
      <c r="I229" s="30" t="s">
        <v>305</v>
      </c>
      <c r="J229" s="31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1.25" hidden="1" customHeight="1">
      <c r="A230" s="18"/>
      <c r="B230" s="35"/>
      <c r="C230" s="35"/>
      <c r="D230" s="35" t="s">
        <v>313</v>
      </c>
      <c r="E230" s="35"/>
      <c r="F230" s="35"/>
      <c r="G230" s="36">
        <v>0</v>
      </c>
      <c r="H230" s="36">
        <v>0</v>
      </c>
      <c r="I230" s="30" t="s">
        <v>305</v>
      </c>
      <c r="J230" s="31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1.25" hidden="1" customHeight="1">
      <c r="A231" s="18"/>
      <c r="B231" s="35"/>
      <c r="C231" s="35"/>
      <c r="D231" s="35" t="s">
        <v>314</v>
      </c>
      <c r="E231" s="35"/>
      <c r="F231" s="35"/>
      <c r="G231" s="36">
        <v>0</v>
      </c>
      <c r="H231" s="36">
        <v>0</v>
      </c>
      <c r="I231" s="30" t="s">
        <v>305</v>
      </c>
      <c r="J231" s="31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1.25" hidden="1" customHeight="1">
      <c r="A232" s="18"/>
      <c r="B232" s="35"/>
      <c r="C232" s="35"/>
      <c r="D232" s="35" t="s">
        <v>315</v>
      </c>
      <c r="E232" s="35"/>
      <c r="F232" s="35"/>
      <c r="G232" s="36">
        <v>0</v>
      </c>
      <c r="H232" s="36">
        <v>0</v>
      </c>
      <c r="I232" s="30" t="s">
        <v>305</v>
      </c>
      <c r="J232" s="31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1.25" hidden="1" customHeight="1">
      <c r="A233" s="18"/>
      <c r="B233" s="35"/>
      <c r="C233" s="35"/>
      <c r="D233" s="35" t="s">
        <v>316</v>
      </c>
      <c r="E233" s="35"/>
      <c r="F233" s="35"/>
      <c r="G233" s="36">
        <v>0</v>
      </c>
      <c r="H233" s="36">
        <v>0</v>
      </c>
      <c r="I233" s="30" t="s">
        <v>305</v>
      </c>
      <c r="J233" s="31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1.25" hidden="1" customHeight="1">
      <c r="A234" s="18"/>
      <c r="B234" s="35"/>
      <c r="C234" s="35"/>
      <c r="D234" s="35" t="s">
        <v>317</v>
      </c>
      <c r="E234" s="35"/>
      <c r="F234" s="35"/>
      <c r="G234" s="36">
        <v>0</v>
      </c>
      <c r="H234" s="36">
        <v>0</v>
      </c>
      <c r="I234" s="30" t="s">
        <v>305</v>
      </c>
      <c r="J234" s="31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1.25" hidden="1" customHeight="1">
      <c r="A235" s="18"/>
      <c r="B235" s="35"/>
      <c r="C235" s="35"/>
      <c r="D235" s="35" t="s">
        <v>318</v>
      </c>
      <c r="E235" s="35"/>
      <c r="F235" s="35"/>
      <c r="G235" s="36">
        <v>0</v>
      </c>
      <c r="H235" s="36">
        <v>0</v>
      </c>
      <c r="I235" s="30" t="s">
        <v>305</v>
      </c>
      <c r="J235" s="31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1.25" hidden="1" customHeight="1">
      <c r="A236" s="21"/>
      <c r="B236" s="35"/>
      <c r="C236" s="35"/>
      <c r="D236" s="35" t="s">
        <v>319</v>
      </c>
      <c r="E236" s="35"/>
      <c r="F236" s="35"/>
      <c r="G236" s="36">
        <v>0</v>
      </c>
      <c r="H236" s="36">
        <v>0</v>
      </c>
      <c r="I236" s="30" t="s">
        <v>305</v>
      </c>
      <c r="J236" s="3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1.25" hidden="1" customHeight="1">
      <c r="A237" s="21"/>
      <c r="B237" s="35"/>
      <c r="C237" s="35"/>
      <c r="D237" s="35" t="s">
        <v>320</v>
      </c>
      <c r="E237" s="35"/>
      <c r="F237" s="35"/>
      <c r="G237" s="36">
        <v>0</v>
      </c>
      <c r="H237" s="36">
        <v>0</v>
      </c>
      <c r="I237" s="30" t="s">
        <v>305</v>
      </c>
      <c r="J237" s="3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1.25" customHeight="1">
      <c r="A238" s="18"/>
      <c r="B238" s="35"/>
      <c r="C238" s="35"/>
      <c r="D238" s="35"/>
      <c r="E238" s="35"/>
      <c r="F238" s="35"/>
      <c r="G238" s="36"/>
      <c r="H238" s="36"/>
      <c r="I238" s="30"/>
      <c r="J238" s="31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1.25" customHeight="1">
      <c r="A239" s="26"/>
      <c r="B239" s="28"/>
      <c r="C239" s="28" t="s">
        <v>321</v>
      </c>
      <c r="D239" s="26"/>
      <c r="E239" s="28"/>
      <c r="F239" s="28"/>
      <c r="G239" s="29">
        <v>241755195.54500002</v>
      </c>
      <c r="H239" s="29">
        <v>268127945.20100003</v>
      </c>
      <c r="I239" s="30">
        <v>10.90886572118821</v>
      </c>
      <c r="J239" s="31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1.25" customHeight="1">
      <c r="A240" s="18"/>
      <c r="B240" s="35"/>
      <c r="C240" s="35"/>
      <c r="D240" s="35" t="s">
        <v>322</v>
      </c>
      <c r="E240" s="35"/>
      <c r="F240" s="35"/>
      <c r="G240" s="36">
        <v>173671519.66299999</v>
      </c>
      <c r="H240" s="36">
        <v>188642956.752</v>
      </c>
      <c r="I240" s="25">
        <v>8.6205482154191326</v>
      </c>
      <c r="J240" s="31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1.25" customHeight="1">
      <c r="A241" s="18"/>
      <c r="B241" s="35"/>
      <c r="C241" s="35"/>
      <c r="D241" s="35" t="s">
        <v>323</v>
      </c>
      <c r="E241" s="35"/>
      <c r="F241" s="35"/>
      <c r="G241" s="36">
        <v>0</v>
      </c>
      <c r="H241" s="36">
        <v>0</v>
      </c>
      <c r="I241" s="25">
        <v>0</v>
      </c>
      <c r="J241" s="31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1.25" customHeight="1">
      <c r="A242" s="18"/>
      <c r="B242" s="35"/>
      <c r="C242" s="35"/>
      <c r="D242" s="35" t="s">
        <v>324</v>
      </c>
      <c r="E242" s="35"/>
      <c r="F242" s="35"/>
      <c r="G242" s="36">
        <v>6709073.9579999996</v>
      </c>
      <c r="H242" s="36">
        <v>5948187.5760000004</v>
      </c>
      <c r="I242" s="25">
        <v>-11.341153589352027</v>
      </c>
      <c r="J242" s="31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1.25" customHeight="1">
      <c r="A243" s="18"/>
      <c r="B243" s="35"/>
      <c r="C243" s="35"/>
      <c r="D243" s="35" t="s">
        <v>325</v>
      </c>
      <c r="E243" s="35"/>
      <c r="F243" s="35"/>
      <c r="G243" s="36">
        <v>6648344.7470000004</v>
      </c>
      <c r="H243" s="36">
        <v>7016076.3090000004</v>
      </c>
      <c r="I243" s="25">
        <v>5.5311746907519277</v>
      </c>
      <c r="J243" s="31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1.25" customHeight="1">
      <c r="A244" s="21"/>
      <c r="B244" s="35"/>
      <c r="C244" s="35"/>
      <c r="D244" s="35" t="s">
        <v>326</v>
      </c>
      <c r="E244" s="35"/>
      <c r="F244" s="35"/>
      <c r="G244" s="36">
        <v>7193165.5109999999</v>
      </c>
      <c r="H244" s="36">
        <v>8074689.8370000003</v>
      </c>
      <c r="I244" s="25">
        <v>12.255026311461181</v>
      </c>
      <c r="J244" s="3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1.25" customHeight="1">
      <c r="A245" s="21"/>
      <c r="B245" s="35"/>
      <c r="C245" s="35"/>
      <c r="D245" s="35" t="s">
        <v>327</v>
      </c>
      <c r="E245" s="35"/>
      <c r="F245" s="35"/>
      <c r="G245" s="36">
        <v>13029017.207999999</v>
      </c>
      <c r="H245" s="36">
        <v>13747037.024999999</v>
      </c>
      <c r="I245" s="25">
        <v>5.5109284571297268</v>
      </c>
      <c r="J245" s="3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1.25" customHeight="1">
      <c r="A246" s="21"/>
      <c r="B246" s="35"/>
      <c r="C246" s="35"/>
      <c r="D246" s="35" t="s">
        <v>328</v>
      </c>
      <c r="E246" s="35"/>
      <c r="F246" s="35"/>
      <c r="G246" s="36">
        <v>34504074.458000004</v>
      </c>
      <c r="H246" s="36">
        <v>44698997.702</v>
      </c>
      <c r="I246" s="25">
        <v>29.547012647476567</v>
      </c>
      <c r="J246" s="3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1.25" customHeight="1">
      <c r="A247" s="18"/>
      <c r="B247" s="35"/>
      <c r="C247" s="35"/>
      <c r="D247" s="35"/>
      <c r="E247" s="35"/>
      <c r="F247" s="35"/>
      <c r="G247" s="36"/>
      <c r="H247" s="36"/>
      <c r="I247" s="30"/>
      <c r="J247" s="31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1.25" customHeight="1">
      <c r="A248" s="26"/>
      <c r="B248" s="28"/>
      <c r="C248" s="28" t="s">
        <v>329</v>
      </c>
      <c r="D248" s="26"/>
      <c r="E248" s="28"/>
      <c r="F248" s="28"/>
      <c r="G248" s="29">
        <v>285089954.09000003</v>
      </c>
      <c r="H248" s="29">
        <v>481712089.11099994</v>
      </c>
      <c r="I248" s="30">
        <v>68.968454412437239</v>
      </c>
      <c r="J248" s="31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1.25" customHeight="1">
      <c r="A249" s="18"/>
      <c r="B249" s="35"/>
      <c r="C249" s="35"/>
      <c r="D249" s="35" t="s">
        <v>330</v>
      </c>
      <c r="E249" s="35"/>
      <c r="F249" s="35"/>
      <c r="G249" s="36">
        <v>55633237.68</v>
      </c>
      <c r="H249" s="36">
        <v>49338681.585000001</v>
      </c>
      <c r="I249" s="25">
        <v>-11.314380319200579</v>
      </c>
      <c r="J249" s="31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1.25" customHeight="1">
      <c r="A250" s="18"/>
      <c r="B250" s="35"/>
      <c r="C250" s="35"/>
      <c r="D250" s="35" t="s">
        <v>331</v>
      </c>
      <c r="E250" s="35"/>
      <c r="F250" s="35"/>
      <c r="G250" s="36">
        <v>15662531.403000001</v>
      </c>
      <c r="H250" s="36">
        <v>17749353.004999999</v>
      </c>
      <c r="I250" s="25">
        <v>13.323654703736377</v>
      </c>
      <c r="J250" s="31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1.25" customHeight="1">
      <c r="A251" s="18"/>
      <c r="B251" s="35"/>
      <c r="C251" s="35"/>
      <c r="D251" s="35" t="s">
        <v>332</v>
      </c>
      <c r="E251" s="35"/>
      <c r="F251" s="35"/>
      <c r="G251" s="36">
        <v>29892494.311000001</v>
      </c>
      <c r="H251" s="36">
        <v>35248383.229999997</v>
      </c>
      <c r="I251" s="25">
        <v>17.917169652279917</v>
      </c>
      <c r="J251" s="31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1.25" customHeight="1">
      <c r="A252" s="18"/>
      <c r="B252" s="35"/>
      <c r="C252" s="35"/>
      <c r="D252" s="35" t="s">
        <v>333</v>
      </c>
      <c r="E252" s="35"/>
      <c r="F252" s="35"/>
      <c r="G252" s="36">
        <v>32574000.864</v>
      </c>
      <c r="H252" s="36">
        <v>33702503</v>
      </c>
      <c r="I252" s="25">
        <v>3.4644259411412692</v>
      </c>
      <c r="J252" s="31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1.25" customHeight="1">
      <c r="A253" s="18"/>
      <c r="B253" s="35"/>
      <c r="C253" s="35"/>
      <c r="D253" s="21" t="s">
        <v>334</v>
      </c>
      <c r="E253" s="18"/>
      <c r="F253" s="18"/>
      <c r="G253" s="36">
        <v>548371</v>
      </c>
      <c r="H253" s="36">
        <v>0</v>
      </c>
      <c r="I253" s="25">
        <v>-100</v>
      </c>
      <c r="J253" s="31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1.25" customHeight="1">
      <c r="A254" s="18"/>
      <c r="B254" s="35"/>
      <c r="C254" s="35"/>
      <c r="D254" s="21" t="s">
        <v>335</v>
      </c>
      <c r="E254" s="18"/>
      <c r="F254" s="18"/>
      <c r="G254" s="36">
        <v>53131408.652999997</v>
      </c>
      <c r="H254" s="36">
        <v>214376844</v>
      </c>
      <c r="I254" s="25">
        <v>303.48420912400462</v>
      </c>
      <c r="J254" s="31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1.25" customHeight="1">
      <c r="A255" s="18"/>
      <c r="B255" s="35"/>
      <c r="C255" s="35"/>
      <c r="D255" s="21" t="s">
        <v>336</v>
      </c>
      <c r="E255" s="18"/>
      <c r="F255" s="18"/>
      <c r="G255" s="36">
        <v>7105871.8310000002</v>
      </c>
      <c r="H255" s="36">
        <v>8025693.6730000004</v>
      </c>
      <c r="I255" s="25">
        <v>12.944531844596408</v>
      </c>
      <c r="J255" s="31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1.25" customHeight="1">
      <c r="A256" s="18"/>
      <c r="B256" s="35"/>
      <c r="C256" s="35"/>
      <c r="D256" s="21" t="s">
        <v>337</v>
      </c>
      <c r="E256" s="18"/>
      <c r="F256" s="18"/>
      <c r="G256" s="36">
        <v>28851856.993999999</v>
      </c>
      <c r="H256" s="36">
        <v>32680562.550999999</v>
      </c>
      <c r="I256" s="25">
        <v>13.270222286892007</v>
      </c>
      <c r="J256" s="31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1.25" customHeight="1">
      <c r="A257" s="18"/>
      <c r="B257" s="35"/>
      <c r="C257" s="35"/>
      <c r="D257" s="21" t="s">
        <v>338</v>
      </c>
      <c r="E257" s="18"/>
      <c r="F257" s="18"/>
      <c r="G257" s="36">
        <v>23973500</v>
      </c>
      <c r="H257" s="36">
        <v>48987465</v>
      </c>
      <c r="I257" s="25">
        <v>104.34006298621395</v>
      </c>
      <c r="J257" s="31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1.25" customHeight="1">
      <c r="A258" s="18"/>
      <c r="B258" s="35"/>
      <c r="C258" s="35"/>
      <c r="D258" s="21" t="s">
        <v>339</v>
      </c>
      <c r="E258" s="18"/>
      <c r="F258" s="18"/>
      <c r="G258" s="36">
        <v>187390</v>
      </c>
      <c r="H258" s="36">
        <v>0</v>
      </c>
      <c r="I258" s="25">
        <v>-100</v>
      </c>
      <c r="J258" s="31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1.25" customHeight="1">
      <c r="A259" s="18"/>
      <c r="B259" s="35"/>
      <c r="C259" s="35"/>
      <c r="D259" s="35" t="s">
        <v>340</v>
      </c>
      <c r="E259" s="18"/>
      <c r="F259" s="18"/>
      <c r="G259" s="36">
        <v>3900510.5490000001</v>
      </c>
      <c r="H259" s="36">
        <v>4783798.38</v>
      </c>
      <c r="I259" s="25">
        <v>22.645441408342148</v>
      </c>
      <c r="J259" s="31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1.25" customHeight="1">
      <c r="A260" s="18"/>
      <c r="B260" s="35"/>
      <c r="C260" s="35"/>
      <c r="D260" s="35" t="s">
        <v>341</v>
      </c>
      <c r="E260" s="35"/>
      <c r="F260" s="35"/>
      <c r="G260" s="36">
        <v>7107353.9670000002</v>
      </c>
      <c r="H260" s="36">
        <v>8180150.6629999997</v>
      </c>
      <c r="I260" s="25">
        <v>15.094178522430134</v>
      </c>
      <c r="J260" s="31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1.25" customHeight="1">
      <c r="A261" s="21"/>
      <c r="B261" s="35"/>
      <c r="C261" s="35"/>
      <c r="D261" s="35" t="s">
        <v>342</v>
      </c>
      <c r="E261" s="35"/>
      <c r="F261" s="35"/>
      <c r="G261" s="36">
        <v>2914825.7069999999</v>
      </c>
      <c r="H261" s="36">
        <v>2849885.196</v>
      </c>
      <c r="I261" s="25">
        <v>-2.2279380494018675</v>
      </c>
      <c r="J261" s="3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1.25" customHeight="1">
      <c r="A262" s="18"/>
      <c r="B262" s="35"/>
      <c r="C262" s="35"/>
      <c r="D262" s="35" t="s">
        <v>343</v>
      </c>
      <c r="E262" s="35"/>
      <c r="F262" s="35"/>
      <c r="G262" s="36">
        <v>8955662.0999999996</v>
      </c>
      <c r="H262" s="36">
        <v>9411004.6899999995</v>
      </c>
      <c r="I262" s="25">
        <v>5.0844101185997248</v>
      </c>
      <c r="J262" s="31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1.25" customHeight="1">
      <c r="A263" s="18"/>
      <c r="B263" s="35"/>
      <c r="C263" s="35"/>
      <c r="D263" s="35" t="s">
        <v>344</v>
      </c>
      <c r="E263" s="35"/>
      <c r="F263" s="35"/>
      <c r="G263" s="36">
        <v>14650939.030999999</v>
      </c>
      <c r="H263" s="36">
        <v>16377764.138</v>
      </c>
      <c r="I263" s="25">
        <v>11.786446611689549</v>
      </c>
      <c r="J263" s="31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1.25" customHeight="1">
      <c r="A264" s="18"/>
      <c r="B264" s="35"/>
      <c r="C264" s="35"/>
      <c r="D264" s="35"/>
      <c r="E264" s="35"/>
      <c r="F264" s="35"/>
      <c r="G264" s="36"/>
      <c r="H264" s="36"/>
      <c r="I264" s="30"/>
      <c r="J264" s="31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1.25" customHeight="1">
      <c r="A265" s="26"/>
      <c r="B265" s="28"/>
      <c r="C265" s="28" t="s">
        <v>345</v>
      </c>
      <c r="D265" s="26"/>
      <c r="E265" s="28"/>
      <c r="F265" s="28"/>
      <c r="G265" s="29">
        <v>552117117.87599993</v>
      </c>
      <c r="H265" s="29">
        <v>649399680.48600006</v>
      </c>
      <c r="I265" s="30">
        <v>17.6199142283882</v>
      </c>
      <c r="J265" s="31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11.25" customHeight="1">
      <c r="A266" s="18"/>
      <c r="B266" s="35"/>
      <c r="C266" s="35"/>
      <c r="D266" s="35" t="s">
        <v>346</v>
      </c>
      <c r="E266" s="35"/>
      <c r="F266" s="35"/>
      <c r="G266" s="36">
        <v>29874160.822000001</v>
      </c>
      <c r="H266" s="36">
        <v>45047673.318000004</v>
      </c>
      <c r="I266" s="25">
        <v>50.791426699510467</v>
      </c>
      <c r="J266" s="31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1.25" customHeight="1">
      <c r="A267" s="18"/>
      <c r="B267" s="35"/>
      <c r="C267" s="35"/>
      <c r="D267" s="35" t="s">
        <v>347</v>
      </c>
      <c r="E267" s="35"/>
      <c r="F267" s="35"/>
      <c r="G267" s="36">
        <v>24344501.886999998</v>
      </c>
      <c r="H267" s="36">
        <v>29451632.991999999</v>
      </c>
      <c r="I267" s="25">
        <v>20.978581236559268</v>
      </c>
      <c r="J267" s="31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1.25" customHeight="1">
      <c r="A268" s="18"/>
      <c r="B268" s="35"/>
      <c r="C268" s="35"/>
      <c r="D268" s="35" t="s">
        <v>348</v>
      </c>
      <c r="E268" s="35"/>
      <c r="F268" s="35"/>
      <c r="G268" s="36">
        <v>255648045.903</v>
      </c>
      <c r="H268" s="36">
        <v>291425887.64499998</v>
      </c>
      <c r="I268" s="25">
        <v>13.994959991039835</v>
      </c>
      <c r="J268" s="31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1.25" customHeight="1">
      <c r="A269" s="18"/>
      <c r="B269" s="35"/>
      <c r="C269" s="35"/>
      <c r="D269" s="35" t="s">
        <v>349</v>
      </c>
      <c r="E269" s="35"/>
      <c r="F269" s="35"/>
      <c r="G269" s="36">
        <v>77432318.651999995</v>
      </c>
      <c r="H269" s="36">
        <v>101703654.18099999</v>
      </c>
      <c r="I269" s="25">
        <v>31.345226323495989</v>
      </c>
      <c r="J269" s="31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1.25" customHeight="1">
      <c r="A270" s="18"/>
      <c r="B270" s="35"/>
      <c r="C270" s="35"/>
      <c r="D270" s="35" t="s">
        <v>350</v>
      </c>
      <c r="E270" s="35"/>
      <c r="F270" s="35"/>
      <c r="G270" s="36">
        <v>84412020.145999998</v>
      </c>
      <c r="H270" s="36">
        <v>97287312.025999993</v>
      </c>
      <c r="I270" s="25">
        <v>15.252912864460221</v>
      </c>
      <c r="J270" s="31"/>
      <c r="K270" s="24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1.25" customHeight="1">
      <c r="A271" s="18"/>
      <c r="B271" s="35"/>
      <c r="C271" s="35"/>
      <c r="D271" s="35" t="s">
        <v>351</v>
      </c>
      <c r="E271" s="35"/>
      <c r="F271" s="35"/>
      <c r="G271" s="36">
        <v>8789589.2520000003</v>
      </c>
      <c r="H271" s="36">
        <v>15209823.304</v>
      </c>
      <c r="I271" s="25">
        <v>73.043618625740976</v>
      </c>
      <c r="J271" s="31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1.25" hidden="1" customHeight="1">
      <c r="A272" s="18"/>
      <c r="B272" s="35"/>
      <c r="C272" s="35"/>
      <c r="D272" s="35" t="s">
        <v>352</v>
      </c>
      <c r="E272" s="35"/>
      <c r="F272" s="35"/>
      <c r="G272" s="36">
        <v>0</v>
      </c>
      <c r="H272" s="36">
        <v>0</v>
      </c>
      <c r="I272" s="25">
        <v>0</v>
      </c>
      <c r="J272" s="31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1.25" customHeight="1">
      <c r="A273" s="18"/>
      <c r="B273" s="35"/>
      <c r="C273" s="35"/>
      <c r="D273" s="35" t="s">
        <v>353</v>
      </c>
      <c r="E273" s="35"/>
      <c r="F273" s="35"/>
      <c r="G273" s="36">
        <v>11652378.216</v>
      </c>
      <c r="H273" s="36">
        <v>15357401.007999999</v>
      </c>
      <c r="I273" s="25">
        <v>31.796279895142732</v>
      </c>
      <c r="J273" s="31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1.25" customHeight="1">
      <c r="A274" s="18"/>
      <c r="B274" s="35"/>
      <c r="C274" s="35"/>
      <c r="D274" s="35" t="s">
        <v>354</v>
      </c>
      <c r="E274" s="35"/>
      <c r="F274" s="35"/>
      <c r="G274" s="36">
        <v>4030480.3790000002</v>
      </c>
      <c r="H274" s="36">
        <v>5055157.3899999997</v>
      </c>
      <c r="I274" s="25">
        <v>25.423198096655454</v>
      </c>
      <c r="J274" s="31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1.25" customHeight="1">
      <c r="A275" s="21"/>
      <c r="B275" s="35"/>
      <c r="C275" s="35"/>
      <c r="D275" s="35" t="s">
        <v>355</v>
      </c>
      <c r="E275" s="35"/>
      <c r="F275" s="35"/>
      <c r="G275" s="36">
        <v>3904952.9789999998</v>
      </c>
      <c r="H275" s="36">
        <v>4629692.858</v>
      </c>
      <c r="I275" s="25">
        <v>18.559503351192607</v>
      </c>
      <c r="J275" s="3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1.25" customHeight="1">
      <c r="A276" s="18"/>
      <c r="B276" s="35"/>
      <c r="C276" s="35"/>
      <c r="D276" s="35" t="s">
        <v>356</v>
      </c>
      <c r="E276" s="35"/>
      <c r="F276" s="35"/>
      <c r="G276" s="36">
        <v>28699281.276000001</v>
      </c>
      <c r="H276" s="36">
        <v>34351527.169</v>
      </c>
      <c r="I276" s="25">
        <v>19.694729769162311</v>
      </c>
      <c r="J276" s="31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1.25" customHeight="1">
      <c r="A277" s="18"/>
      <c r="B277" s="35"/>
      <c r="C277" s="35"/>
      <c r="D277" s="35" t="s">
        <v>357</v>
      </c>
      <c r="E277" s="35"/>
      <c r="F277" s="35"/>
      <c r="G277" s="36">
        <v>23329388.364</v>
      </c>
      <c r="H277" s="36">
        <v>7117677.6689999998</v>
      </c>
      <c r="I277" s="25">
        <v>-69.490508889708337</v>
      </c>
      <c r="J277" s="31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1.25" customHeight="1">
      <c r="A278" s="18"/>
      <c r="B278" s="35"/>
      <c r="C278" s="35"/>
      <c r="D278" s="35" t="s">
        <v>358</v>
      </c>
      <c r="E278" s="35"/>
      <c r="F278" s="35"/>
      <c r="G278" s="36">
        <v>0</v>
      </c>
      <c r="H278" s="36">
        <v>2762240.926</v>
      </c>
      <c r="I278" s="30"/>
      <c r="J278" s="31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1.25" customHeight="1">
      <c r="A279" s="18"/>
      <c r="B279" s="35"/>
      <c r="C279" s="35"/>
      <c r="D279" s="35"/>
      <c r="E279" s="35"/>
      <c r="F279" s="35"/>
      <c r="G279" s="36"/>
      <c r="H279" s="36"/>
      <c r="I279" s="30"/>
      <c r="J279" s="31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1.25" customHeight="1">
      <c r="A280" s="18"/>
      <c r="B280" s="35"/>
      <c r="C280" s="35"/>
      <c r="D280" s="35"/>
      <c r="E280" s="35"/>
      <c r="F280" s="35"/>
      <c r="G280" s="36"/>
      <c r="H280" s="36"/>
      <c r="I280" s="30"/>
      <c r="J280" s="31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1.25" customHeight="1">
      <c r="A281" s="18"/>
      <c r="B281" s="35"/>
      <c r="C281" s="35"/>
      <c r="D281" s="35"/>
      <c r="E281" s="35"/>
      <c r="F281" s="35"/>
      <c r="G281" s="36"/>
      <c r="H281" s="36"/>
      <c r="I281" s="30"/>
      <c r="J281" s="31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1.25" customHeight="1">
      <c r="A282" s="18"/>
      <c r="B282" s="35"/>
      <c r="C282" s="35"/>
      <c r="D282" s="35"/>
      <c r="E282" s="35"/>
      <c r="F282" s="35"/>
      <c r="G282" s="36"/>
      <c r="H282" s="36"/>
      <c r="I282" s="30"/>
      <c r="J282" s="31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27.75" customHeight="1">
      <c r="A283" s="18"/>
      <c r="B283" s="9" t="s">
        <v>71</v>
      </c>
      <c r="C283" s="10"/>
      <c r="D283" s="10"/>
      <c r="E283" s="10"/>
      <c r="F283" s="10"/>
      <c r="G283" s="11" t="s">
        <v>72</v>
      </c>
      <c r="H283" s="11" t="s">
        <v>73</v>
      </c>
      <c r="I283" s="12" t="s">
        <v>74</v>
      </c>
      <c r="J283" s="31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6.75" customHeight="1">
      <c r="A284" s="18"/>
      <c r="B284" s="35"/>
      <c r="C284" s="35"/>
      <c r="D284" s="35"/>
      <c r="E284" s="35"/>
      <c r="F284" s="35"/>
      <c r="G284" s="36"/>
      <c r="H284" s="36"/>
      <c r="I284" s="30"/>
      <c r="J284" s="31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1.25" customHeight="1">
      <c r="A285" s="26"/>
      <c r="B285" s="28"/>
      <c r="C285" s="28" t="s">
        <v>359</v>
      </c>
      <c r="D285" s="26"/>
      <c r="E285" s="28"/>
      <c r="F285" s="28"/>
      <c r="G285" s="29">
        <v>12405749930.975</v>
      </c>
      <c r="H285" s="29">
        <v>15186188154.539</v>
      </c>
      <c r="I285" s="30">
        <v>22.412496133117511</v>
      </c>
      <c r="J285" s="31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11.25" customHeight="1">
      <c r="A286" s="18"/>
      <c r="B286" s="35"/>
      <c r="C286" s="35"/>
      <c r="D286" s="35" t="s">
        <v>360</v>
      </c>
      <c r="E286" s="35"/>
      <c r="F286" s="35"/>
      <c r="G286" s="36">
        <v>7214307222.4390001</v>
      </c>
      <c r="H286" s="36">
        <v>8666087757.8630009</v>
      </c>
      <c r="I286" s="25">
        <v>20.123630594888709</v>
      </c>
      <c r="J286" s="31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1.25" customHeight="1">
      <c r="A287" s="18"/>
      <c r="B287" s="35"/>
      <c r="C287" s="35"/>
      <c r="D287" s="35" t="s">
        <v>361</v>
      </c>
      <c r="E287" s="35"/>
      <c r="F287" s="35"/>
      <c r="G287" s="36">
        <v>32163467.999000002</v>
      </c>
      <c r="H287" s="36">
        <v>38754605.152999997</v>
      </c>
      <c r="I287" s="25">
        <v>20.492619621133269</v>
      </c>
      <c r="J287" s="31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1.25" customHeight="1">
      <c r="A288" s="18"/>
      <c r="B288" s="35"/>
      <c r="C288" s="35"/>
      <c r="D288" s="4" t="s">
        <v>362</v>
      </c>
      <c r="E288" s="35"/>
      <c r="F288" s="35"/>
      <c r="G288" s="36">
        <v>20876286.894000001</v>
      </c>
      <c r="H288" s="36">
        <v>32100691.791000001</v>
      </c>
      <c r="I288" s="25">
        <v>53.766289733381555</v>
      </c>
      <c r="J288" s="31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1.25" customHeight="1">
      <c r="A289" s="18"/>
      <c r="B289" s="35"/>
      <c r="C289" s="35"/>
      <c r="D289" s="4" t="s">
        <v>363</v>
      </c>
      <c r="E289" s="35"/>
      <c r="F289" s="35"/>
      <c r="G289" s="36">
        <v>381717992.37800002</v>
      </c>
      <c r="H289" s="36">
        <v>446315167.75199997</v>
      </c>
      <c r="I289" s="25">
        <v>16.922748380702977</v>
      </c>
      <c r="J289" s="31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1.25" hidden="1" customHeight="1">
      <c r="A290" s="18"/>
      <c r="B290" s="35"/>
      <c r="C290" s="35"/>
      <c r="D290" s="35" t="s">
        <v>364</v>
      </c>
      <c r="E290" s="35"/>
      <c r="F290" s="35"/>
      <c r="G290" s="36">
        <v>0</v>
      </c>
      <c r="H290" s="36">
        <v>0</v>
      </c>
      <c r="I290" s="25">
        <v>0</v>
      </c>
      <c r="J290" s="31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1.25" hidden="1" customHeight="1">
      <c r="A291" s="18"/>
      <c r="B291" s="35"/>
      <c r="C291" s="35"/>
      <c r="D291" s="35" t="s">
        <v>365</v>
      </c>
      <c r="E291" s="35"/>
      <c r="F291" s="35"/>
      <c r="G291" s="36">
        <v>0</v>
      </c>
      <c r="H291" s="36">
        <v>0</v>
      </c>
      <c r="I291" s="25">
        <v>0</v>
      </c>
      <c r="J291" s="31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1.25" customHeight="1">
      <c r="A292" s="18"/>
      <c r="B292" s="35"/>
      <c r="C292" s="35"/>
      <c r="D292" s="35" t="s">
        <v>366</v>
      </c>
      <c r="E292" s="35"/>
      <c r="F292" s="35"/>
      <c r="G292" s="36">
        <v>1161447673.335</v>
      </c>
      <c r="H292" s="36">
        <v>1427101368.1359999</v>
      </c>
      <c r="I292" s="25">
        <v>22.87263566839799</v>
      </c>
      <c r="J292" s="31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1.25" customHeight="1">
      <c r="A293" s="18"/>
      <c r="B293" s="35"/>
      <c r="C293" s="35"/>
      <c r="D293" s="35" t="s">
        <v>367</v>
      </c>
      <c r="E293" s="35"/>
      <c r="F293" s="35"/>
      <c r="G293" s="36">
        <v>598937247.23599994</v>
      </c>
      <c r="H293" s="36">
        <v>766590225.41499996</v>
      </c>
      <c r="I293" s="25">
        <v>27.991743534517475</v>
      </c>
      <c r="J293" s="31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1.25" customHeight="1">
      <c r="A294" s="18"/>
      <c r="B294" s="35"/>
      <c r="C294" s="35"/>
      <c r="D294" s="35" t="s">
        <v>368</v>
      </c>
      <c r="E294" s="35"/>
      <c r="F294" s="35"/>
      <c r="G294" s="36">
        <v>53666.201999999997</v>
      </c>
      <c r="H294" s="36">
        <v>97590.767999999996</v>
      </c>
      <c r="I294" s="25">
        <v>81.847726060435576</v>
      </c>
      <c r="J294" s="31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1.25" customHeight="1">
      <c r="A295" s="21"/>
      <c r="B295" s="35"/>
      <c r="C295" s="35"/>
      <c r="D295" s="35" t="s">
        <v>369</v>
      </c>
      <c r="E295" s="35"/>
      <c r="F295" s="35"/>
      <c r="G295" s="36">
        <v>1821233.3060000001</v>
      </c>
      <c r="H295" s="36">
        <v>1962636.916</v>
      </c>
      <c r="I295" s="25">
        <v>7.76416780508844</v>
      </c>
      <c r="J295" s="3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1.25" hidden="1" customHeight="1">
      <c r="A296" s="18"/>
      <c r="B296" s="35"/>
      <c r="C296" s="35"/>
      <c r="D296" s="35" t="s">
        <v>370</v>
      </c>
      <c r="E296" s="35"/>
      <c r="F296" s="35"/>
      <c r="G296" s="36">
        <v>0</v>
      </c>
      <c r="H296" s="36">
        <v>0</v>
      </c>
      <c r="I296" s="25">
        <v>0</v>
      </c>
      <c r="J296" s="31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1.25" customHeight="1">
      <c r="A297" s="18"/>
      <c r="B297" s="35"/>
      <c r="C297" s="35"/>
      <c r="D297" s="35" t="s">
        <v>371</v>
      </c>
      <c r="E297" s="35"/>
      <c r="F297" s="35"/>
      <c r="G297" s="36">
        <v>327694414.454</v>
      </c>
      <c r="H297" s="36">
        <v>340630654.97000003</v>
      </c>
      <c r="I297" s="25">
        <v>3.9476536509034599</v>
      </c>
      <c r="J297" s="31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1.25" customHeight="1">
      <c r="A298" s="18"/>
      <c r="B298" s="35"/>
      <c r="C298" s="35"/>
      <c r="D298" s="35" t="s">
        <v>372</v>
      </c>
      <c r="E298" s="35"/>
      <c r="F298" s="35"/>
      <c r="G298" s="36">
        <v>12512689.073000001</v>
      </c>
      <c r="H298" s="36">
        <v>9263980</v>
      </c>
      <c r="I298" s="25">
        <v>-25.963316550477511</v>
      </c>
      <c r="J298" s="31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1.25" customHeight="1">
      <c r="A299" s="18"/>
      <c r="B299" s="35"/>
      <c r="C299" s="35"/>
      <c r="D299" s="35" t="s">
        <v>373</v>
      </c>
      <c r="E299" s="35"/>
      <c r="F299" s="35"/>
      <c r="G299" s="36">
        <v>9741774.4030000009</v>
      </c>
      <c r="H299" s="36">
        <v>13683741.540999999</v>
      </c>
      <c r="I299" s="25">
        <v>40.464570158656741</v>
      </c>
      <c r="J299" s="31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1.25" customHeight="1">
      <c r="A300" s="18"/>
      <c r="B300" s="35"/>
      <c r="C300" s="35"/>
      <c r="D300" s="35" t="s">
        <v>374</v>
      </c>
      <c r="E300" s="35"/>
      <c r="F300" s="35"/>
      <c r="G300" s="36">
        <v>11517263.642000001</v>
      </c>
      <c r="H300" s="36">
        <v>12449315.694</v>
      </c>
      <c r="I300" s="25">
        <v>8.0926518743660978</v>
      </c>
      <c r="J300" s="31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1.25" customHeight="1">
      <c r="A301" s="18"/>
      <c r="B301" s="35"/>
      <c r="C301" s="35"/>
      <c r="D301" s="35" t="s">
        <v>375</v>
      </c>
      <c r="E301" s="35"/>
      <c r="F301" s="35"/>
      <c r="G301" s="36">
        <v>10227230.899</v>
      </c>
      <c r="H301" s="36">
        <v>16464876.482999999</v>
      </c>
      <c r="I301" s="25">
        <v>60.990561820696776</v>
      </c>
      <c r="J301" s="31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1.25" customHeight="1">
      <c r="A302" s="18"/>
      <c r="B302" s="35"/>
      <c r="C302" s="35"/>
      <c r="D302" s="35" t="s">
        <v>376</v>
      </c>
      <c r="E302" s="35"/>
      <c r="F302" s="35"/>
      <c r="G302" s="36">
        <v>11697672.912</v>
      </c>
      <c r="H302" s="36">
        <v>13192730.588</v>
      </c>
      <c r="I302" s="25">
        <v>12.78081279282739</v>
      </c>
      <c r="J302" s="31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1.25" customHeight="1">
      <c r="A303" s="18"/>
      <c r="B303" s="35"/>
      <c r="C303" s="35"/>
      <c r="D303" s="35" t="s">
        <v>377</v>
      </c>
      <c r="E303" s="35"/>
      <c r="F303" s="35"/>
      <c r="G303" s="36">
        <v>11223751.720000001</v>
      </c>
      <c r="H303" s="36">
        <v>12306953.761</v>
      </c>
      <c r="I303" s="25">
        <v>9.6509800646231714</v>
      </c>
      <c r="J303" s="31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1.25" customHeight="1">
      <c r="A304" s="18"/>
      <c r="B304" s="35"/>
      <c r="C304" s="35"/>
      <c r="D304" s="35" t="s">
        <v>378</v>
      </c>
      <c r="E304" s="35"/>
      <c r="F304" s="35"/>
      <c r="G304" s="36">
        <v>11008810.597999999</v>
      </c>
      <c r="H304" s="36">
        <v>23680128.068999998</v>
      </c>
      <c r="I304" s="25">
        <v>115.10160301333583</v>
      </c>
      <c r="J304" s="31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1.25" customHeight="1">
      <c r="A305" s="18"/>
      <c r="B305" s="35"/>
      <c r="C305" s="35"/>
      <c r="D305" s="35" t="s">
        <v>379</v>
      </c>
      <c r="E305" s="35"/>
      <c r="F305" s="35"/>
      <c r="G305" s="36">
        <v>12433792.109999999</v>
      </c>
      <c r="H305" s="36">
        <v>18254312.875999998</v>
      </c>
      <c r="I305" s="25">
        <v>46.812112624263591</v>
      </c>
      <c r="J305" s="31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1.25" customHeight="1">
      <c r="A306" s="18"/>
      <c r="B306" s="35"/>
      <c r="C306" s="35"/>
      <c r="D306" s="35" t="s">
        <v>380</v>
      </c>
      <c r="E306" s="35"/>
      <c r="F306" s="35"/>
      <c r="G306" s="36">
        <v>6623366.5609999998</v>
      </c>
      <c r="H306" s="36">
        <v>15672798.537</v>
      </c>
      <c r="I306" s="25">
        <v>136.62888642288448</v>
      </c>
      <c r="J306" s="31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1.25" customHeight="1">
      <c r="A307" s="18"/>
      <c r="B307" s="35"/>
      <c r="C307" s="35"/>
      <c r="D307" s="35" t="s">
        <v>381</v>
      </c>
      <c r="E307" s="35"/>
      <c r="F307" s="35"/>
      <c r="G307" s="36">
        <v>7917658.6710000001</v>
      </c>
      <c r="H307" s="36">
        <v>10235005.722999999</v>
      </c>
      <c r="I307" s="25">
        <v>29.268084774704217</v>
      </c>
      <c r="J307" s="31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1.25" customHeight="1">
      <c r="A308" s="18"/>
      <c r="B308" s="35"/>
      <c r="C308" s="35"/>
      <c r="D308" s="35" t="s">
        <v>382</v>
      </c>
      <c r="E308" s="35"/>
      <c r="F308" s="35"/>
      <c r="G308" s="36">
        <v>11796459.898</v>
      </c>
      <c r="H308" s="36">
        <v>15685094.253</v>
      </c>
      <c r="I308" s="25">
        <v>32.964418042562826</v>
      </c>
      <c r="J308" s="31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1.25" customHeight="1">
      <c r="A309" s="18"/>
      <c r="B309" s="35"/>
      <c r="C309" s="35"/>
      <c r="D309" s="35" t="s">
        <v>383</v>
      </c>
      <c r="E309" s="35"/>
      <c r="F309" s="35"/>
      <c r="G309" s="36">
        <v>99719</v>
      </c>
      <c r="H309" s="36">
        <v>9984098.7760000005</v>
      </c>
      <c r="I309" s="25">
        <v>9912.2331511547454</v>
      </c>
      <c r="J309" s="31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1.25" customHeight="1">
      <c r="A310" s="18"/>
      <c r="B310" s="35"/>
      <c r="C310" s="35"/>
      <c r="D310" s="35" t="s">
        <v>384</v>
      </c>
      <c r="E310" s="35"/>
      <c r="F310" s="35"/>
      <c r="G310" s="36">
        <v>0</v>
      </c>
      <c r="H310" s="36">
        <v>2696501</v>
      </c>
      <c r="I310" s="25">
        <v>0</v>
      </c>
      <c r="J310" s="31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1.25" customHeight="1">
      <c r="A311" s="18"/>
      <c r="B311" s="35"/>
      <c r="C311" s="35"/>
      <c r="D311" s="35" t="s">
        <v>385</v>
      </c>
      <c r="E311" s="35"/>
      <c r="F311" s="35"/>
      <c r="G311" s="36">
        <v>0</v>
      </c>
      <c r="H311" s="36">
        <v>2106128.9789999998</v>
      </c>
      <c r="I311" s="25">
        <v>0</v>
      </c>
      <c r="J311" s="31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1.25" customHeight="1">
      <c r="A312" s="18"/>
      <c r="B312" s="35"/>
      <c r="C312" s="35"/>
      <c r="D312" s="35" t="s">
        <v>386</v>
      </c>
      <c r="E312" s="35"/>
      <c r="F312" s="35"/>
      <c r="G312" s="36">
        <v>191550</v>
      </c>
      <c r="H312" s="36">
        <v>12269452.369000001</v>
      </c>
      <c r="I312" s="25">
        <v>6305.3523200208829</v>
      </c>
      <c r="J312" s="31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1.25" customHeight="1">
      <c r="A313" s="18"/>
      <c r="B313" s="35"/>
      <c r="C313" s="35"/>
      <c r="D313" s="35" t="s">
        <v>387</v>
      </c>
      <c r="E313" s="35"/>
      <c r="F313" s="35"/>
      <c r="G313" s="36">
        <v>265904</v>
      </c>
      <c r="H313" s="36">
        <v>14984643.016000001</v>
      </c>
      <c r="I313" s="25">
        <v>5535.3582556110478</v>
      </c>
      <c r="J313" s="31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1.25" customHeight="1">
      <c r="A314" s="18"/>
      <c r="B314" s="35"/>
      <c r="C314" s="35"/>
      <c r="D314" s="35" t="s">
        <v>388</v>
      </c>
      <c r="E314" s="35"/>
      <c r="F314" s="35"/>
      <c r="G314" s="36">
        <v>267435</v>
      </c>
      <c r="H314" s="36">
        <v>35250973.479000002</v>
      </c>
      <c r="I314" s="25">
        <v>13081.13690392058</v>
      </c>
      <c r="J314" s="31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1.25" customHeight="1">
      <c r="A315" s="18"/>
      <c r="B315" s="35"/>
      <c r="C315" s="35"/>
      <c r="D315" s="35" t="s">
        <v>389</v>
      </c>
      <c r="E315" s="35"/>
      <c r="F315" s="35"/>
      <c r="G315" s="36">
        <v>0</v>
      </c>
      <c r="H315" s="36">
        <v>500518</v>
      </c>
      <c r="I315" s="25">
        <v>0</v>
      </c>
      <c r="J315" s="31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1.25" customHeight="1">
      <c r="A316" s="18"/>
      <c r="B316" s="35"/>
      <c r="C316" s="35"/>
      <c r="D316" s="35" t="s">
        <v>390</v>
      </c>
      <c r="E316" s="35"/>
      <c r="F316" s="35"/>
      <c r="G316" s="36">
        <v>0</v>
      </c>
      <c r="H316" s="36">
        <v>533387</v>
      </c>
      <c r="I316" s="25">
        <v>0</v>
      </c>
      <c r="J316" s="31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1.25" customHeight="1">
      <c r="A317" s="18"/>
      <c r="B317" s="35"/>
      <c r="C317" s="35"/>
      <c r="D317" s="35" t="s">
        <v>391</v>
      </c>
      <c r="E317" s="35"/>
      <c r="F317" s="35"/>
      <c r="G317" s="36">
        <v>0</v>
      </c>
      <c r="H317" s="36">
        <v>389340</v>
      </c>
      <c r="I317" s="25">
        <v>0</v>
      </c>
      <c r="J317" s="31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1.25" customHeight="1">
      <c r="A318" s="18"/>
      <c r="B318" s="35"/>
      <c r="C318" s="35"/>
      <c r="D318" s="35" t="s">
        <v>392</v>
      </c>
      <c r="E318" s="35"/>
      <c r="F318" s="35"/>
      <c r="G318" s="36">
        <v>0</v>
      </c>
      <c r="H318" s="36">
        <v>378351</v>
      </c>
      <c r="I318" s="25">
        <v>0</v>
      </c>
      <c r="J318" s="31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1.25" customHeight="1">
      <c r="A319" s="18"/>
      <c r="B319" s="35"/>
      <c r="C319" s="35"/>
      <c r="D319" s="35" t="s">
        <v>393</v>
      </c>
      <c r="E319" s="35"/>
      <c r="F319" s="35"/>
      <c r="G319" s="36">
        <v>0</v>
      </c>
      <c r="H319" s="36">
        <v>1348137</v>
      </c>
      <c r="I319" s="25">
        <v>0</v>
      </c>
      <c r="J319" s="31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1.25" customHeight="1">
      <c r="A320" s="18"/>
      <c r="B320" s="35"/>
      <c r="C320" s="35"/>
      <c r="D320" s="35" t="s">
        <v>394</v>
      </c>
      <c r="E320" s="35"/>
      <c r="F320" s="35"/>
      <c r="G320" s="36">
        <v>0</v>
      </c>
      <c r="H320" s="36">
        <v>1779403</v>
      </c>
      <c r="I320" s="25">
        <v>0</v>
      </c>
      <c r="J320" s="31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1.25" customHeight="1">
      <c r="A321" s="18"/>
      <c r="B321" s="35"/>
      <c r="C321" s="35"/>
      <c r="D321" s="35" t="s">
        <v>395</v>
      </c>
      <c r="E321" s="35"/>
      <c r="F321" s="35"/>
      <c r="G321" s="36">
        <v>0</v>
      </c>
      <c r="H321" s="36">
        <v>1408615</v>
      </c>
      <c r="I321" s="25">
        <v>0</v>
      </c>
      <c r="J321" s="31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1.25" customHeight="1">
      <c r="A322" s="18"/>
      <c r="B322" s="35"/>
      <c r="C322" s="35"/>
      <c r="D322" s="35" t="s">
        <v>396</v>
      </c>
      <c r="E322" s="35"/>
      <c r="F322" s="35"/>
      <c r="G322" s="36">
        <v>0</v>
      </c>
      <c r="H322" s="36">
        <v>865000</v>
      </c>
      <c r="I322" s="25">
        <v>0</v>
      </c>
      <c r="J322" s="31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1.25" customHeight="1">
      <c r="A323" s="18"/>
      <c r="B323" s="35"/>
      <c r="C323" s="35"/>
      <c r="D323" s="35" t="s">
        <v>397</v>
      </c>
      <c r="E323" s="35"/>
      <c r="F323" s="35"/>
      <c r="G323" s="36">
        <v>0</v>
      </c>
      <c r="H323" s="36">
        <v>1015000</v>
      </c>
      <c r="I323" s="25">
        <v>0</v>
      </c>
      <c r="J323" s="31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1.25" customHeight="1">
      <c r="A324" s="18"/>
      <c r="B324" s="35"/>
      <c r="C324" s="35"/>
      <c r="D324" s="35" t="s">
        <v>398</v>
      </c>
      <c r="E324" s="35"/>
      <c r="F324" s="35"/>
      <c r="G324" s="36">
        <v>0</v>
      </c>
      <c r="H324" s="36">
        <v>1100000</v>
      </c>
      <c r="I324" s="25">
        <v>0</v>
      </c>
      <c r="J324" s="31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1.25" customHeight="1">
      <c r="A325" s="18"/>
      <c r="B325" s="35"/>
      <c r="C325" s="35"/>
      <c r="D325" s="35" t="s">
        <v>399</v>
      </c>
      <c r="E325" s="35"/>
      <c r="F325" s="35"/>
      <c r="G325" s="36">
        <v>0</v>
      </c>
      <c r="H325" s="36">
        <v>370000</v>
      </c>
      <c r="I325" s="25">
        <v>0</v>
      </c>
      <c r="J325" s="31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1.25" customHeight="1">
      <c r="A326" s="18"/>
      <c r="B326" s="35"/>
      <c r="C326" s="35"/>
      <c r="D326" s="35" t="s">
        <v>400</v>
      </c>
      <c r="E326" s="35"/>
      <c r="F326" s="35"/>
      <c r="G326" s="36">
        <v>0</v>
      </c>
      <c r="H326" s="36">
        <v>307000</v>
      </c>
      <c r="I326" s="25">
        <v>0</v>
      </c>
      <c r="J326" s="31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1.25" customHeight="1">
      <c r="A327" s="18"/>
      <c r="B327" s="35"/>
      <c r="C327" s="35"/>
      <c r="D327" s="35" t="s">
        <v>401</v>
      </c>
      <c r="E327" s="35"/>
      <c r="F327" s="35"/>
      <c r="G327" s="36">
        <v>0</v>
      </c>
      <c r="H327" s="36">
        <v>648849</v>
      </c>
      <c r="I327" s="25">
        <v>0</v>
      </c>
      <c r="J327" s="31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1.25" customHeight="1">
      <c r="A328" s="18"/>
      <c r="B328" s="35"/>
      <c r="C328" s="35"/>
      <c r="D328" s="35" t="s">
        <v>402</v>
      </c>
      <c r="E328" s="35"/>
      <c r="F328" s="35"/>
      <c r="G328" s="36">
        <v>2546342545.4450002</v>
      </c>
      <c r="H328" s="36">
        <v>3214107084.631</v>
      </c>
      <c r="I328" s="25">
        <v>0</v>
      </c>
      <c r="J328" s="31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1.25" customHeight="1">
      <c r="A329" s="18"/>
      <c r="B329" s="35"/>
      <c r="C329" s="35"/>
      <c r="D329" s="35" t="s">
        <v>403</v>
      </c>
      <c r="E329" s="35"/>
      <c r="F329" s="35"/>
      <c r="G329" s="36">
        <v>2863102.8</v>
      </c>
      <c r="H329" s="36">
        <v>3616036</v>
      </c>
      <c r="I329" s="25">
        <v>26.297805304091781</v>
      </c>
      <c r="J329" s="31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1.25" customHeight="1">
      <c r="A330" s="18"/>
      <c r="B330" s="35"/>
      <c r="C330" s="35"/>
      <c r="D330" s="35"/>
      <c r="E330" s="35"/>
      <c r="F330" s="35"/>
      <c r="G330" s="36"/>
      <c r="H330" s="36"/>
      <c r="I330" s="30"/>
      <c r="J330" s="31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1.25" customHeight="1">
      <c r="A331" s="26"/>
      <c r="B331" s="28"/>
      <c r="C331" s="28" t="s">
        <v>404</v>
      </c>
      <c r="D331" s="26"/>
      <c r="E331" s="28"/>
      <c r="F331" s="28"/>
      <c r="G331" s="29">
        <v>1024696403.7159998</v>
      </c>
      <c r="H331" s="29">
        <v>1226033724.816</v>
      </c>
      <c r="I331" s="30">
        <v>19.648485187404052</v>
      </c>
      <c r="J331" s="31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11.25" customHeight="1">
      <c r="A332" s="18"/>
      <c r="B332" s="35"/>
      <c r="C332" s="35"/>
      <c r="D332" s="35" t="s">
        <v>346</v>
      </c>
      <c r="E332" s="35"/>
      <c r="F332" s="35"/>
      <c r="G332" s="36">
        <v>220731478.088</v>
      </c>
      <c r="H332" s="36">
        <v>291866777.73299998</v>
      </c>
      <c r="I332" s="25">
        <v>32.22707529582172</v>
      </c>
      <c r="J332" s="31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1.25" customHeight="1">
      <c r="A333" s="18"/>
      <c r="B333" s="35"/>
      <c r="C333" s="35"/>
      <c r="D333" s="35" t="s">
        <v>405</v>
      </c>
      <c r="E333" s="35"/>
      <c r="F333" s="35"/>
      <c r="G333" s="36">
        <v>34182980.391000003</v>
      </c>
      <c r="H333" s="36">
        <v>17630050</v>
      </c>
      <c r="I333" s="25">
        <v>-48.424479672808765</v>
      </c>
      <c r="J333" s="31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1.25" customHeight="1">
      <c r="A334" s="18"/>
      <c r="B334" s="35"/>
      <c r="C334" s="35"/>
      <c r="D334" s="35" t="s">
        <v>406</v>
      </c>
      <c r="E334" s="35"/>
      <c r="F334" s="35"/>
      <c r="G334" s="36">
        <v>51187372.545999996</v>
      </c>
      <c r="H334" s="36">
        <v>59573930.487000003</v>
      </c>
      <c r="I334" s="25">
        <v>16.384036772864931</v>
      </c>
      <c r="J334" s="31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1.25" customHeight="1">
      <c r="A335" s="18"/>
      <c r="B335" s="35"/>
      <c r="C335" s="35"/>
      <c r="D335" s="35" t="s">
        <v>407</v>
      </c>
      <c r="E335" s="35"/>
      <c r="F335" s="35"/>
      <c r="G335" s="36">
        <v>548320843.85099995</v>
      </c>
      <c r="H335" s="36">
        <v>645553873.03699994</v>
      </c>
      <c r="I335" s="25">
        <v>17.732871233401791</v>
      </c>
      <c r="J335" s="31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1.25" customHeight="1">
      <c r="A336" s="18"/>
      <c r="B336" s="35"/>
      <c r="C336" s="35"/>
      <c r="D336" s="35" t="s">
        <v>408</v>
      </c>
      <c r="E336" s="35"/>
      <c r="F336" s="35"/>
      <c r="G336" s="36">
        <v>3716551.0320000001</v>
      </c>
      <c r="H336" s="36">
        <v>5899960.0860000001</v>
      </c>
      <c r="I336" s="25">
        <v>58.748259749443953</v>
      </c>
      <c r="J336" s="31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1.25" customHeight="1">
      <c r="A337" s="18"/>
      <c r="B337" s="35"/>
      <c r="C337" s="35"/>
      <c r="D337" s="35" t="s">
        <v>409</v>
      </c>
      <c r="E337" s="35"/>
      <c r="F337" s="35"/>
      <c r="G337" s="36">
        <v>101818964.897</v>
      </c>
      <c r="H337" s="36">
        <v>99022920.445999995</v>
      </c>
      <c r="I337" s="25">
        <v>-2.7460939657248384</v>
      </c>
      <c r="J337" s="31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1.25" customHeight="1">
      <c r="A338" s="18"/>
      <c r="B338" s="35"/>
      <c r="C338" s="35"/>
      <c r="D338" s="35" t="s">
        <v>410</v>
      </c>
      <c r="E338" s="35"/>
      <c r="F338" s="35"/>
      <c r="G338" s="36">
        <v>64738212.910999998</v>
      </c>
      <c r="H338" s="36">
        <v>77970225.026999995</v>
      </c>
      <c r="I338" s="25">
        <v>20.43926071019435</v>
      </c>
      <c r="J338" s="31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1.25" customHeight="1">
      <c r="A339" s="18"/>
      <c r="B339" s="35"/>
      <c r="C339" s="35"/>
      <c r="D339" s="35" t="s">
        <v>411</v>
      </c>
      <c r="E339" s="35"/>
      <c r="F339" s="35"/>
      <c r="G339" s="36">
        <v>0</v>
      </c>
      <c r="H339" s="36">
        <v>28515988</v>
      </c>
      <c r="I339" s="25">
        <v>0</v>
      </c>
      <c r="J339" s="31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1.25" customHeight="1">
      <c r="A340" s="18"/>
      <c r="B340" s="35"/>
      <c r="C340" s="35"/>
      <c r="D340" s="35"/>
      <c r="E340" s="35"/>
      <c r="F340" s="35"/>
      <c r="G340" s="36"/>
      <c r="H340" s="36"/>
      <c r="I340" s="30"/>
      <c r="J340" s="31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1.25" customHeight="1">
      <c r="A341" s="26"/>
      <c r="B341" s="28"/>
      <c r="C341" s="28" t="s">
        <v>412</v>
      </c>
      <c r="D341" s="26"/>
      <c r="E341" s="28"/>
      <c r="F341" s="28"/>
      <c r="G341" s="29">
        <v>1365765057.0150001</v>
      </c>
      <c r="H341" s="29">
        <v>1601037891.8439999</v>
      </c>
      <c r="I341" s="30">
        <v>17.226450012069371</v>
      </c>
      <c r="J341" s="31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11.25" customHeight="1">
      <c r="A342" s="18"/>
      <c r="B342" s="35"/>
      <c r="C342" s="35"/>
      <c r="D342" s="35" t="s">
        <v>413</v>
      </c>
      <c r="E342" s="35"/>
      <c r="F342" s="35"/>
      <c r="G342" s="36">
        <v>592091414.37</v>
      </c>
      <c r="H342" s="36">
        <v>709308755</v>
      </c>
      <c r="I342" s="25">
        <v>19.797169454774497</v>
      </c>
      <c r="J342" s="31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1.25" customHeight="1">
      <c r="A343" s="18"/>
      <c r="B343" s="35"/>
      <c r="C343" s="35"/>
      <c r="D343" s="35" t="s">
        <v>414</v>
      </c>
      <c r="E343" s="35"/>
      <c r="F343" s="35"/>
      <c r="G343" s="36">
        <v>442019500.69999999</v>
      </c>
      <c r="H343" s="36">
        <v>531356187.45599997</v>
      </c>
      <c r="I343" s="25">
        <v>20.211028385517558</v>
      </c>
      <c r="J343" s="31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1.25" customHeight="1">
      <c r="A344" s="18"/>
      <c r="B344" s="35"/>
      <c r="C344" s="35"/>
      <c r="D344" s="35" t="s">
        <v>415</v>
      </c>
      <c r="E344" s="35"/>
      <c r="F344" s="35"/>
      <c r="G344" s="36">
        <v>287705985.08999997</v>
      </c>
      <c r="H344" s="36">
        <v>303377475.31999999</v>
      </c>
      <c r="I344" s="25">
        <v>5.4470504758869387</v>
      </c>
      <c r="J344" s="31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1.25" customHeight="1">
      <c r="A345" s="18"/>
      <c r="B345" s="35"/>
      <c r="C345" s="35"/>
      <c r="D345" s="35" t="s">
        <v>416</v>
      </c>
      <c r="E345" s="35"/>
      <c r="F345" s="35"/>
      <c r="G345" s="36">
        <v>1342547.4569999999</v>
      </c>
      <c r="H345" s="36">
        <v>2146409.5649999999</v>
      </c>
      <c r="I345" s="25">
        <v>59.875880275865747</v>
      </c>
      <c r="J345" s="31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1.25" customHeight="1">
      <c r="A346" s="21"/>
      <c r="B346" s="35"/>
      <c r="C346" s="35"/>
      <c r="D346" s="35" t="s">
        <v>417</v>
      </c>
      <c r="E346" s="35"/>
      <c r="F346" s="35"/>
      <c r="G346" s="36">
        <v>3174956</v>
      </c>
      <c r="H346" s="36">
        <v>3855056</v>
      </c>
      <c r="I346" s="25">
        <v>21.42076929570047</v>
      </c>
      <c r="J346" s="3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1.25" customHeight="1">
      <c r="A347" s="18"/>
      <c r="B347" s="35"/>
      <c r="C347" s="35"/>
      <c r="D347" s="35" t="s">
        <v>418</v>
      </c>
      <c r="E347" s="35"/>
      <c r="F347" s="35"/>
      <c r="G347" s="36">
        <v>4615526</v>
      </c>
      <c r="H347" s="36">
        <v>5191428</v>
      </c>
      <c r="I347" s="25">
        <v>12.477494439420344</v>
      </c>
      <c r="J347" s="31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1.25" customHeight="1">
      <c r="A348" s="18"/>
      <c r="B348" s="35"/>
      <c r="C348" s="35"/>
      <c r="D348" s="35" t="s">
        <v>419</v>
      </c>
      <c r="E348" s="35"/>
      <c r="F348" s="35"/>
      <c r="G348" s="36">
        <v>1408412</v>
      </c>
      <c r="H348" s="36">
        <v>1084942</v>
      </c>
      <c r="I348" s="25">
        <v>-22.967001133191147</v>
      </c>
      <c r="J348" s="31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1.25" customHeight="1">
      <c r="A349" s="18"/>
      <c r="B349" s="35"/>
      <c r="C349" s="35"/>
      <c r="D349" s="35" t="s">
        <v>420</v>
      </c>
      <c r="E349" s="35"/>
      <c r="F349" s="35"/>
      <c r="G349" s="36">
        <v>15262139.821</v>
      </c>
      <c r="H349" s="36">
        <v>24344431.636</v>
      </c>
      <c r="I349" s="25">
        <v>59.508639820631082</v>
      </c>
      <c r="J349" s="31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1.25" customHeight="1">
      <c r="A350" s="18"/>
      <c r="B350" s="35"/>
      <c r="C350" s="35"/>
      <c r="D350" s="35" t="s">
        <v>421</v>
      </c>
      <c r="E350" s="35"/>
      <c r="F350" s="35"/>
      <c r="G350" s="36">
        <v>4883361.9469999997</v>
      </c>
      <c r="H350" s="36">
        <v>6037162.8909999998</v>
      </c>
      <c r="I350" s="25">
        <v>23.627184642924437</v>
      </c>
      <c r="J350" s="31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1.25" customHeight="1">
      <c r="A351" s="18"/>
      <c r="B351" s="35"/>
      <c r="C351" s="35"/>
      <c r="D351" s="35" t="s">
        <v>422</v>
      </c>
      <c r="E351" s="35"/>
      <c r="F351" s="35"/>
      <c r="G351" s="36">
        <v>13261213.629999999</v>
      </c>
      <c r="H351" s="36">
        <v>14336043.976</v>
      </c>
      <c r="I351" s="25">
        <v>8.1050677259921322</v>
      </c>
      <c r="J351" s="31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1.25" customHeight="1">
      <c r="A352" s="18"/>
      <c r="B352" s="35"/>
      <c r="C352" s="35"/>
      <c r="D352" s="35"/>
      <c r="E352" s="35"/>
      <c r="F352" s="35"/>
      <c r="G352" s="36"/>
      <c r="H352" s="36"/>
      <c r="I352" s="30"/>
      <c r="J352" s="31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1.25" customHeight="1">
      <c r="A353" s="26"/>
      <c r="B353" s="28"/>
      <c r="C353" s="28" t="s">
        <v>423</v>
      </c>
      <c r="D353" s="26"/>
      <c r="E353" s="28"/>
      <c r="F353" s="28"/>
      <c r="G353" s="29">
        <v>1929055280.063</v>
      </c>
      <c r="H353" s="29">
        <v>3551298457.3559999</v>
      </c>
      <c r="I353" s="30">
        <v>84.095214588149076</v>
      </c>
      <c r="J353" s="31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11.25" customHeight="1">
      <c r="A354" s="18"/>
      <c r="B354" s="35"/>
      <c r="C354" s="35"/>
      <c r="D354" s="35" t="s">
        <v>346</v>
      </c>
      <c r="E354" s="35"/>
      <c r="F354" s="35"/>
      <c r="G354" s="36">
        <v>24282766</v>
      </c>
      <c r="H354" s="36">
        <v>27110732</v>
      </c>
      <c r="I354" s="25">
        <v>11.645979704289044</v>
      </c>
      <c r="J354" s="31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1.25" customHeight="1">
      <c r="A355" s="18"/>
      <c r="B355" s="35"/>
      <c r="C355" s="35"/>
      <c r="D355" s="35" t="s">
        <v>424</v>
      </c>
      <c r="E355" s="35"/>
      <c r="F355" s="35"/>
      <c r="G355" s="36">
        <v>1582398961</v>
      </c>
      <c r="H355" s="36">
        <v>3054403034.5749998</v>
      </c>
      <c r="I355" s="25">
        <v>93.023574323176007</v>
      </c>
      <c r="J355" s="31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1.25" customHeight="1">
      <c r="A356" s="18"/>
      <c r="B356" s="35"/>
      <c r="C356" s="35"/>
      <c r="D356" s="35" t="s">
        <v>425</v>
      </c>
      <c r="E356" s="35"/>
      <c r="F356" s="35"/>
      <c r="G356" s="36">
        <v>281854443</v>
      </c>
      <c r="H356" s="36">
        <v>410856809</v>
      </c>
      <c r="I356" s="25">
        <v>45.769144040067509</v>
      </c>
      <c r="J356" s="31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1.25" customHeight="1">
      <c r="A357" s="18"/>
      <c r="B357" s="35"/>
      <c r="C357" s="35"/>
      <c r="D357" s="35" t="s">
        <v>426</v>
      </c>
      <c r="E357" s="35"/>
      <c r="F357" s="35"/>
      <c r="G357" s="36">
        <v>24114407</v>
      </c>
      <c r="H357" s="36">
        <v>39909797</v>
      </c>
      <c r="I357" s="25">
        <v>65.501880266016911</v>
      </c>
      <c r="J357" s="31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1.25" customHeight="1">
      <c r="A358" s="18"/>
      <c r="B358" s="35"/>
      <c r="C358" s="35"/>
      <c r="D358" s="35" t="s">
        <v>427</v>
      </c>
      <c r="E358" s="35"/>
      <c r="F358" s="35"/>
      <c r="G358" s="36">
        <v>2152401.8059999999</v>
      </c>
      <c r="H358" s="36">
        <v>2479369.9130000002</v>
      </c>
      <c r="I358" s="25">
        <v>15.190848943192181</v>
      </c>
      <c r="J358" s="31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1.25" customHeight="1">
      <c r="A359" s="18"/>
      <c r="B359" s="35"/>
      <c r="C359" s="35"/>
      <c r="D359" s="35" t="s">
        <v>428</v>
      </c>
      <c r="E359" s="35"/>
      <c r="F359" s="35"/>
      <c r="G359" s="36">
        <v>14252301.256999999</v>
      </c>
      <c r="H359" s="36">
        <v>16538714.868000001</v>
      </c>
      <c r="I359" s="25">
        <v>16.042417078975447</v>
      </c>
      <c r="J359" s="46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1.25" customHeight="1">
      <c r="A360" s="18"/>
      <c r="B360" s="18"/>
      <c r="C360" s="18"/>
      <c r="D360" s="18"/>
      <c r="E360" s="18"/>
      <c r="F360" s="18"/>
      <c r="G360" s="24"/>
      <c r="H360" s="24"/>
      <c r="I360" s="25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1.25" customHeight="1">
      <c r="A361" s="18"/>
      <c r="B361" s="18"/>
      <c r="C361" s="18"/>
      <c r="D361" s="18"/>
      <c r="E361" s="18"/>
      <c r="F361" s="18"/>
      <c r="G361" s="24"/>
      <c r="H361" s="24"/>
      <c r="I361" s="25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1.25" customHeight="1">
      <c r="A362" s="18"/>
      <c r="B362" s="18"/>
      <c r="C362" s="18"/>
      <c r="D362" s="18"/>
      <c r="E362" s="18"/>
      <c r="F362" s="18"/>
      <c r="G362" s="24"/>
      <c r="H362" s="24"/>
      <c r="I362" s="25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1.25" customHeight="1">
      <c r="A363" s="18"/>
      <c r="B363" s="18"/>
      <c r="C363" s="18"/>
      <c r="D363" s="18"/>
      <c r="E363" s="18"/>
      <c r="F363" s="18"/>
      <c r="G363" s="24"/>
      <c r="H363" s="24"/>
      <c r="I363" s="25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1.25" customHeight="1">
      <c r="A364" s="18"/>
      <c r="B364" s="18"/>
      <c r="C364" s="18"/>
      <c r="D364" s="18"/>
      <c r="E364" s="18"/>
      <c r="F364" s="18"/>
      <c r="G364" s="24"/>
      <c r="H364" s="24"/>
      <c r="I364" s="25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1.25" customHeight="1">
      <c r="A365" s="18"/>
      <c r="B365" s="35"/>
      <c r="C365" s="35"/>
      <c r="D365" s="35"/>
      <c r="E365" s="35"/>
      <c r="F365" s="35"/>
      <c r="G365" s="36"/>
      <c r="H365" s="36"/>
      <c r="I365" s="30"/>
      <c r="J365" s="31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1.25" customHeight="1">
      <c r="A366" s="18"/>
      <c r="B366" s="35"/>
      <c r="C366" s="35"/>
      <c r="D366" s="35"/>
      <c r="E366" s="35"/>
      <c r="F366" s="35"/>
      <c r="G366" s="36"/>
      <c r="H366" s="36"/>
      <c r="I366" s="30"/>
      <c r="J366" s="31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1.25" customHeight="1">
      <c r="A367" s="18"/>
      <c r="B367" s="35"/>
      <c r="C367" s="35"/>
      <c r="D367" s="35"/>
      <c r="E367" s="35"/>
      <c r="F367" s="35"/>
      <c r="G367" s="36"/>
      <c r="H367" s="36"/>
      <c r="I367" s="30"/>
      <c r="J367" s="31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27.75" customHeight="1">
      <c r="A368" s="18"/>
      <c r="B368" s="9" t="s">
        <v>71</v>
      </c>
      <c r="C368" s="10"/>
      <c r="D368" s="10"/>
      <c r="E368" s="10"/>
      <c r="F368" s="10"/>
      <c r="G368" s="11" t="s">
        <v>72</v>
      </c>
      <c r="H368" s="11" t="s">
        <v>73</v>
      </c>
      <c r="I368" s="12" t="s">
        <v>74</v>
      </c>
      <c r="J368" s="31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5.25" customHeight="1">
      <c r="A369" s="18"/>
      <c r="B369" s="35"/>
      <c r="C369" s="35"/>
      <c r="D369" s="35"/>
      <c r="E369" s="35"/>
      <c r="F369" s="35"/>
      <c r="G369" s="36"/>
      <c r="H369" s="36"/>
      <c r="I369" s="30"/>
      <c r="J369" s="31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1.25" customHeight="1">
      <c r="A370" s="26"/>
      <c r="B370" s="28"/>
      <c r="C370" s="28" t="s">
        <v>429</v>
      </c>
      <c r="D370" s="26"/>
      <c r="E370" s="28"/>
      <c r="F370" s="28"/>
      <c r="G370" s="29">
        <v>719309923.76400006</v>
      </c>
      <c r="H370" s="29">
        <v>867538266.24199998</v>
      </c>
      <c r="I370" s="30">
        <v>20.60702036506763</v>
      </c>
      <c r="J370" s="31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11.25" customHeight="1">
      <c r="A371" s="18"/>
      <c r="B371" s="32"/>
      <c r="C371" s="32"/>
      <c r="D371" s="35" t="s">
        <v>430</v>
      </c>
      <c r="E371" s="32"/>
      <c r="F371" s="32"/>
      <c r="G371" s="24">
        <v>82601716.890000001</v>
      </c>
      <c r="H371" s="36">
        <v>77059131.983999997</v>
      </c>
      <c r="I371" s="30">
        <v>-6.7100117463430138</v>
      </c>
      <c r="J371" s="31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1.25" customHeight="1">
      <c r="A372" s="18"/>
      <c r="B372" s="35"/>
      <c r="C372" s="35"/>
      <c r="D372" s="35" t="s">
        <v>431</v>
      </c>
      <c r="E372" s="35"/>
      <c r="F372" s="35"/>
      <c r="G372" s="24">
        <v>7216240.1279999996</v>
      </c>
      <c r="H372" s="36">
        <v>8257499.6040000003</v>
      </c>
      <c r="I372" s="30">
        <v>14.429390617972526</v>
      </c>
      <c r="J372" s="31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1.25" customHeight="1">
      <c r="A373" s="18"/>
      <c r="B373" s="35"/>
      <c r="C373" s="35"/>
      <c r="D373" s="35" t="s">
        <v>432</v>
      </c>
      <c r="E373" s="35"/>
      <c r="F373" s="35"/>
      <c r="G373" s="24">
        <v>248509332.41999999</v>
      </c>
      <c r="H373" s="36">
        <v>265630559.24599999</v>
      </c>
      <c r="I373" s="30">
        <v>6.889570970744785</v>
      </c>
      <c r="J373" s="31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1.25" customHeight="1">
      <c r="A374" s="18"/>
      <c r="B374" s="35"/>
      <c r="C374" s="35"/>
      <c r="D374" s="35" t="s">
        <v>433</v>
      </c>
      <c r="E374" s="35"/>
      <c r="F374" s="35"/>
      <c r="G374" s="24">
        <v>109060287</v>
      </c>
      <c r="H374" s="36">
        <v>137785654</v>
      </c>
      <c r="I374" s="30">
        <v>26.338979834153562</v>
      </c>
      <c r="J374" s="31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1.25" customHeight="1">
      <c r="A375" s="18"/>
      <c r="B375" s="35"/>
      <c r="C375" s="35"/>
      <c r="D375" s="35" t="s">
        <v>434</v>
      </c>
      <c r="E375" s="35"/>
      <c r="F375" s="35"/>
      <c r="G375" s="24">
        <v>184012895.26899999</v>
      </c>
      <c r="H375" s="36">
        <v>267671544</v>
      </c>
      <c r="I375" s="30">
        <v>45.463470703345685</v>
      </c>
      <c r="J375" s="31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1.25" customHeight="1">
      <c r="A376" s="18"/>
      <c r="B376" s="35"/>
      <c r="C376" s="35"/>
      <c r="D376" s="35" t="s">
        <v>435</v>
      </c>
      <c r="E376" s="35"/>
      <c r="F376" s="35"/>
      <c r="G376" s="24">
        <v>87909452.056999996</v>
      </c>
      <c r="H376" s="36">
        <v>111133877.40800001</v>
      </c>
      <c r="I376" s="30">
        <v>26.418575941005095</v>
      </c>
      <c r="J376" s="31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1.25" customHeight="1">
      <c r="A377" s="18"/>
      <c r="B377" s="35"/>
      <c r="C377" s="35"/>
      <c r="D377" s="35"/>
      <c r="E377" s="35"/>
      <c r="F377" s="35"/>
      <c r="G377" s="36"/>
      <c r="H377" s="36"/>
      <c r="I377" s="30"/>
      <c r="J377" s="31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1.25" customHeight="1">
      <c r="A378" s="26"/>
      <c r="B378" s="28"/>
      <c r="C378" s="28" t="s">
        <v>436</v>
      </c>
      <c r="D378" s="26"/>
      <c r="E378" s="28"/>
      <c r="F378" s="28"/>
      <c r="G378" s="29">
        <v>2947270.7340000002</v>
      </c>
      <c r="H378" s="29">
        <v>0</v>
      </c>
      <c r="I378" s="30">
        <v>-100</v>
      </c>
      <c r="J378" s="31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11.25" customHeight="1">
      <c r="A379" s="18"/>
      <c r="B379" s="35"/>
      <c r="C379" s="35"/>
      <c r="D379" s="35" t="s">
        <v>437</v>
      </c>
      <c r="E379" s="35"/>
      <c r="F379" s="35"/>
      <c r="G379" s="36">
        <v>2947270.7340000002</v>
      </c>
      <c r="H379" s="36">
        <v>0</v>
      </c>
      <c r="I379" s="30">
        <v>-100</v>
      </c>
      <c r="J379" s="31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1.25" customHeight="1">
      <c r="A380" s="18"/>
      <c r="B380" s="35"/>
      <c r="C380" s="35"/>
      <c r="D380" s="35"/>
      <c r="E380" s="35"/>
      <c r="F380" s="35"/>
      <c r="G380" s="36"/>
      <c r="H380" s="36"/>
      <c r="I380" s="30"/>
      <c r="J380" s="31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1.25" customHeight="1">
      <c r="A381" s="26"/>
      <c r="B381" s="28"/>
      <c r="C381" s="28" t="s">
        <v>438</v>
      </c>
      <c r="D381" s="26"/>
      <c r="E381" s="28"/>
      <c r="F381" s="28"/>
      <c r="G381" s="29">
        <v>11771946905.905001</v>
      </c>
      <c r="H381" s="29">
        <v>13895449607.217001</v>
      </c>
      <c r="I381" s="30">
        <v>18.038670393992497</v>
      </c>
      <c r="J381" s="31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11.25" customHeight="1">
      <c r="A382" s="18"/>
      <c r="B382" s="35"/>
      <c r="C382" s="35"/>
      <c r="D382" s="35" t="s">
        <v>439</v>
      </c>
      <c r="E382" s="35"/>
      <c r="F382" s="35"/>
      <c r="G382" s="36">
        <v>119128605.624</v>
      </c>
      <c r="H382" s="36">
        <v>141306761.53799999</v>
      </c>
      <c r="I382" s="30">
        <v>18.61698606965976</v>
      </c>
      <c r="J382" s="31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1.25" customHeight="1">
      <c r="A383" s="18"/>
      <c r="B383" s="35"/>
      <c r="C383" s="35"/>
      <c r="D383" s="35" t="s">
        <v>440</v>
      </c>
      <c r="E383" s="35"/>
      <c r="F383" s="35"/>
      <c r="G383" s="36">
        <v>82571580.062000006</v>
      </c>
      <c r="H383" s="36">
        <v>102285709.914</v>
      </c>
      <c r="I383" s="30">
        <v>23.875199962502069</v>
      </c>
      <c r="J383" s="31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1.25" customHeight="1">
      <c r="A384" s="18"/>
      <c r="B384" s="35"/>
      <c r="C384" s="35"/>
      <c r="D384" s="35" t="s">
        <v>441</v>
      </c>
      <c r="E384" s="35"/>
      <c r="F384" s="35"/>
      <c r="G384" s="36">
        <v>6237711.9359999998</v>
      </c>
      <c r="H384" s="36">
        <v>7744279.3689999999</v>
      </c>
      <c r="I384" s="30">
        <v>24.152565050416584</v>
      </c>
      <c r="J384" s="31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1.25" customHeight="1">
      <c r="A385" s="18"/>
      <c r="B385" s="35"/>
      <c r="C385" s="35"/>
      <c r="D385" s="35" t="s">
        <v>442</v>
      </c>
      <c r="E385" s="35"/>
      <c r="F385" s="35"/>
      <c r="G385" s="36">
        <v>14178608.32</v>
      </c>
      <c r="H385" s="36">
        <v>8702737.8760000002</v>
      </c>
      <c r="I385" s="30">
        <v>-38.620648235806541</v>
      </c>
      <c r="J385" s="31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1.25" customHeight="1">
      <c r="A386" s="18"/>
      <c r="B386" s="35"/>
      <c r="C386" s="35"/>
      <c r="D386" s="35" t="s">
        <v>443</v>
      </c>
      <c r="E386" s="35"/>
      <c r="F386" s="35"/>
      <c r="G386" s="36">
        <v>193522044.76199999</v>
      </c>
      <c r="H386" s="36">
        <v>252505078.97999999</v>
      </c>
      <c r="I386" s="30">
        <v>30.478715895410957</v>
      </c>
      <c r="J386" s="31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1.25" customHeight="1">
      <c r="A387" s="21"/>
      <c r="B387" s="35"/>
      <c r="C387" s="35"/>
      <c r="D387" s="35" t="s">
        <v>444</v>
      </c>
      <c r="E387" s="35"/>
      <c r="F387" s="35"/>
      <c r="G387" s="36">
        <v>15371516.004000001</v>
      </c>
      <c r="H387" s="36">
        <v>19403179.149999999</v>
      </c>
      <c r="I387" s="30">
        <v>26.228142656526998</v>
      </c>
      <c r="J387" s="3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1.25" customHeight="1">
      <c r="A388" s="18"/>
      <c r="B388" s="35"/>
      <c r="C388" s="35"/>
      <c r="D388" s="35" t="s">
        <v>445</v>
      </c>
      <c r="E388" s="35"/>
      <c r="F388" s="35"/>
      <c r="G388" s="36">
        <v>18473690.090999998</v>
      </c>
      <c r="H388" s="36">
        <v>23267788.204</v>
      </c>
      <c r="I388" s="30">
        <v>25.950950185829889</v>
      </c>
      <c r="J388" s="31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1.25" customHeight="1">
      <c r="A389" s="18"/>
      <c r="B389" s="35"/>
      <c r="C389" s="35"/>
      <c r="D389" s="35" t="s">
        <v>446</v>
      </c>
      <c r="E389" s="35"/>
      <c r="F389" s="35"/>
      <c r="G389" s="36">
        <v>9133501526</v>
      </c>
      <c r="H389" s="36">
        <v>10642886964.919001</v>
      </c>
      <c r="I389" s="30">
        <v>16.525813617288932</v>
      </c>
      <c r="J389" s="31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1.25" customHeight="1">
      <c r="A390" s="18"/>
      <c r="B390" s="35"/>
      <c r="C390" s="35"/>
      <c r="D390" s="35" t="s">
        <v>447</v>
      </c>
      <c r="E390" s="35"/>
      <c r="F390" s="35"/>
      <c r="G390" s="36">
        <v>1318117045.77</v>
      </c>
      <c r="H390" s="36">
        <v>1547637463.25</v>
      </c>
      <c r="I390" s="30">
        <v>17.412749362172299</v>
      </c>
      <c r="J390" s="31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1.25" customHeight="1">
      <c r="A391" s="18"/>
      <c r="B391" s="35"/>
      <c r="C391" s="35"/>
      <c r="D391" s="35" t="s">
        <v>448</v>
      </c>
      <c r="E391" s="35"/>
      <c r="F391" s="35"/>
      <c r="G391" s="36">
        <v>870844577.33599997</v>
      </c>
      <c r="H391" s="36">
        <v>1149709644.017</v>
      </c>
      <c r="I391" s="30">
        <v>32.022369311189358</v>
      </c>
      <c r="J391" s="31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1.25" customHeight="1">
      <c r="A392" s="18"/>
      <c r="B392" s="35"/>
      <c r="C392" s="35"/>
      <c r="D392" s="35"/>
      <c r="E392" s="35"/>
      <c r="F392" s="35"/>
      <c r="G392" s="36"/>
      <c r="H392" s="36"/>
      <c r="I392" s="30"/>
      <c r="J392" s="31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1.25" customHeight="1">
      <c r="A393" s="26"/>
      <c r="B393" s="28"/>
      <c r="C393" s="28" t="s">
        <v>449</v>
      </c>
      <c r="D393" s="26"/>
      <c r="E393" s="28"/>
      <c r="F393" s="28"/>
      <c r="G393" s="29">
        <v>10449882149.087999</v>
      </c>
      <c r="H393" s="29">
        <v>12203865558.135998</v>
      </c>
      <c r="I393" s="30">
        <v>16.78471952146441</v>
      </c>
      <c r="J393" s="31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11.25" customHeight="1">
      <c r="A394" s="18"/>
      <c r="B394" s="35"/>
      <c r="C394" s="35"/>
      <c r="D394" s="35" t="s">
        <v>450</v>
      </c>
      <c r="E394" s="35"/>
      <c r="F394" s="35"/>
      <c r="G394" s="36">
        <v>9459095042.25</v>
      </c>
      <c r="H394" s="36">
        <v>10765022700.566999</v>
      </c>
      <c r="I394" s="30">
        <v>13.806052825179815</v>
      </c>
      <c r="J394" s="31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1.25" customHeight="1">
      <c r="A395" s="18"/>
      <c r="B395" s="35"/>
      <c r="C395" s="35"/>
      <c r="D395" s="35" t="s">
        <v>451</v>
      </c>
      <c r="E395" s="35"/>
      <c r="F395" s="35"/>
      <c r="G395" s="36">
        <v>13569387.703</v>
      </c>
      <c r="H395" s="36">
        <v>16123469.638</v>
      </c>
      <c r="I395" s="30">
        <v>18.822381605585115</v>
      </c>
      <c r="J395" s="31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1.25" customHeight="1">
      <c r="A396" s="18"/>
      <c r="B396" s="35"/>
      <c r="C396" s="35"/>
      <c r="D396" s="35" t="s">
        <v>452</v>
      </c>
      <c r="E396" s="35"/>
      <c r="F396" s="35"/>
      <c r="G396" s="36">
        <v>411496602.56800002</v>
      </c>
      <c r="H396" s="36">
        <v>500781903.88599998</v>
      </c>
      <c r="I396" s="30">
        <v>21.697700724818382</v>
      </c>
      <c r="J396" s="31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1.25" customHeight="1">
      <c r="A397" s="18"/>
      <c r="B397" s="35"/>
      <c r="C397" s="35"/>
      <c r="D397" s="35" t="s">
        <v>453</v>
      </c>
      <c r="E397" s="35"/>
      <c r="F397" s="35"/>
      <c r="G397" s="36">
        <v>550504311.33099997</v>
      </c>
      <c r="H397" s="36">
        <v>902959504.59899998</v>
      </c>
      <c r="I397" s="30">
        <v>64.024056853585719</v>
      </c>
      <c r="J397" s="31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1.25" customHeight="1">
      <c r="A398" s="21"/>
      <c r="B398" s="35"/>
      <c r="C398" s="35"/>
      <c r="D398" s="35" t="s">
        <v>454</v>
      </c>
      <c r="E398" s="35"/>
      <c r="F398" s="35"/>
      <c r="G398" s="36">
        <v>15216805.236</v>
      </c>
      <c r="H398" s="36">
        <v>18977979.445999999</v>
      </c>
      <c r="I398" s="30">
        <v>24.717239602316731</v>
      </c>
      <c r="J398" s="3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1.25" customHeight="1">
      <c r="A399" s="18"/>
      <c r="B399" s="35"/>
      <c r="C399" s="35"/>
      <c r="D399" s="35"/>
      <c r="E399" s="35"/>
      <c r="F399" s="35"/>
      <c r="G399" s="36"/>
      <c r="H399" s="36"/>
      <c r="I399" s="30"/>
      <c r="J399" s="31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1.25" customHeight="1">
      <c r="A400" s="26"/>
      <c r="B400" s="28"/>
      <c r="C400" s="28" t="s">
        <v>455</v>
      </c>
      <c r="D400" s="26"/>
      <c r="E400" s="28"/>
      <c r="F400" s="28"/>
      <c r="G400" s="29">
        <v>43152121.784000002</v>
      </c>
      <c r="H400" s="29">
        <v>46356688.630000003</v>
      </c>
      <c r="I400" s="30">
        <v>7.4262092187276751</v>
      </c>
      <c r="J400" s="31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11.25" customHeight="1">
      <c r="A401" s="18"/>
      <c r="B401" s="35"/>
      <c r="C401" s="35"/>
      <c r="D401" s="35" t="s">
        <v>346</v>
      </c>
      <c r="E401" s="35"/>
      <c r="F401" s="35"/>
      <c r="G401" s="36">
        <v>10549877.409</v>
      </c>
      <c r="H401" s="36">
        <v>10366674.98</v>
      </c>
      <c r="I401" s="30">
        <v>-1.7365360932413476</v>
      </c>
      <c r="J401" s="31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1.25" customHeight="1">
      <c r="A402" s="18"/>
      <c r="B402" s="35"/>
      <c r="C402" s="35"/>
      <c r="D402" s="35" t="s">
        <v>456</v>
      </c>
      <c r="E402" s="35"/>
      <c r="F402" s="35"/>
      <c r="G402" s="36">
        <v>5365389.8689999999</v>
      </c>
      <c r="H402" s="36">
        <v>6089734.0010000002</v>
      </c>
      <c r="I402" s="30">
        <v>13.500307520709631</v>
      </c>
      <c r="J402" s="31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1.25" customHeight="1">
      <c r="A403" s="18"/>
      <c r="B403" s="35"/>
      <c r="C403" s="35"/>
      <c r="D403" s="35" t="s">
        <v>457</v>
      </c>
      <c r="E403" s="35"/>
      <c r="F403" s="35"/>
      <c r="G403" s="36">
        <v>27236854.506000001</v>
      </c>
      <c r="H403" s="36">
        <v>29900279.649</v>
      </c>
      <c r="I403" s="30">
        <v>9.7787545269343532</v>
      </c>
      <c r="J403" s="31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1.25" customHeight="1">
      <c r="A404" s="18"/>
      <c r="B404" s="35"/>
      <c r="C404" s="35"/>
      <c r="D404" s="35"/>
      <c r="E404" s="35"/>
      <c r="F404" s="35"/>
      <c r="G404" s="36"/>
      <c r="H404" s="36"/>
      <c r="I404" s="30"/>
      <c r="J404" s="31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1.25" customHeight="1">
      <c r="A405" s="26"/>
      <c r="B405" s="28"/>
      <c r="C405" s="28" t="s">
        <v>458</v>
      </c>
      <c r="D405" s="26"/>
      <c r="E405" s="28"/>
      <c r="F405" s="28"/>
      <c r="G405" s="29">
        <v>2859742351.7259998</v>
      </c>
      <c r="H405" s="29">
        <v>4180610711.8860006</v>
      </c>
      <c r="I405" s="30">
        <v>46.188369360015578</v>
      </c>
      <c r="J405" s="31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11.25" customHeight="1">
      <c r="A406" s="18"/>
      <c r="B406" s="35"/>
      <c r="C406" s="35"/>
      <c r="D406" s="35" t="s">
        <v>459</v>
      </c>
      <c r="E406" s="35"/>
      <c r="F406" s="35"/>
      <c r="G406" s="36">
        <v>270322938.73100001</v>
      </c>
      <c r="H406" s="36">
        <v>323332173.32200003</v>
      </c>
      <c r="I406" s="30">
        <v>19.60959541200824</v>
      </c>
      <c r="J406" s="31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1.25" customHeight="1">
      <c r="A407" s="18"/>
      <c r="B407" s="35"/>
      <c r="C407" s="35"/>
      <c r="D407" s="35" t="s">
        <v>460</v>
      </c>
      <c r="E407" s="35"/>
      <c r="F407" s="35"/>
      <c r="G407" s="36">
        <v>30696534.105999999</v>
      </c>
      <c r="H407" s="36">
        <v>37639297.571999997</v>
      </c>
      <c r="I407" s="30">
        <v>22.617418116408629</v>
      </c>
      <c r="J407" s="31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1.25" customHeight="1">
      <c r="A408" s="18"/>
      <c r="B408" s="35"/>
      <c r="C408" s="35"/>
      <c r="D408" s="35" t="s">
        <v>461</v>
      </c>
      <c r="E408" s="35"/>
      <c r="F408" s="35"/>
      <c r="G408" s="36">
        <v>116381415.96600001</v>
      </c>
      <c r="H408" s="36">
        <v>95793046.069000006</v>
      </c>
      <c r="I408" s="30">
        <v>-17.690427398661956</v>
      </c>
      <c r="J408" s="31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1.25" customHeight="1">
      <c r="A409" s="18"/>
      <c r="B409" s="35"/>
      <c r="C409" s="35"/>
      <c r="D409" s="35" t="s">
        <v>462</v>
      </c>
      <c r="E409" s="35"/>
      <c r="F409" s="35"/>
      <c r="G409" s="36">
        <v>110507124.766</v>
      </c>
      <c r="H409" s="36">
        <v>144178905.33700001</v>
      </c>
      <c r="I409" s="30">
        <v>30.470234966569222</v>
      </c>
      <c r="J409" s="31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1.25" customHeight="1">
      <c r="A410" s="18"/>
      <c r="B410" s="35"/>
      <c r="C410" s="35"/>
      <c r="D410" s="35" t="s">
        <v>463</v>
      </c>
      <c r="E410" s="35"/>
      <c r="F410" s="35"/>
      <c r="G410" s="36">
        <v>84471898.762999997</v>
      </c>
      <c r="H410" s="36">
        <v>87301396.419</v>
      </c>
      <c r="I410" s="30">
        <v>3.3496318863846408</v>
      </c>
      <c r="J410" s="31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1.25" customHeight="1">
      <c r="A411" s="18"/>
      <c r="B411" s="35"/>
      <c r="C411" s="35"/>
      <c r="D411" s="35" t="s">
        <v>464</v>
      </c>
      <c r="E411" s="35"/>
      <c r="F411" s="35"/>
      <c r="G411" s="36">
        <v>105667314.478</v>
      </c>
      <c r="H411" s="36">
        <v>151847888.252</v>
      </c>
      <c r="I411" s="30">
        <v>43.703745100491616</v>
      </c>
      <c r="J411" s="31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1.25" customHeight="1">
      <c r="A412" s="18"/>
      <c r="B412" s="35"/>
      <c r="C412" s="35"/>
      <c r="D412" s="35" t="s">
        <v>465</v>
      </c>
      <c r="E412" s="35"/>
      <c r="F412" s="35"/>
      <c r="G412" s="36">
        <v>241639885.79800001</v>
      </c>
      <c r="H412" s="36">
        <v>287869132.384</v>
      </c>
      <c r="I412" s="30">
        <v>19.131463513703828</v>
      </c>
      <c r="J412" s="31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1.25" customHeight="1">
      <c r="A413" s="18"/>
      <c r="B413" s="35"/>
      <c r="C413" s="35"/>
      <c r="D413" s="35" t="s">
        <v>466</v>
      </c>
      <c r="E413" s="35"/>
      <c r="F413" s="35"/>
      <c r="G413" s="36">
        <v>108952034.34100001</v>
      </c>
      <c r="H413" s="36">
        <v>212737711.509</v>
      </c>
      <c r="I413" s="30">
        <v>95.258136110767566</v>
      </c>
      <c r="J413" s="31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1.25" customHeight="1">
      <c r="A414" s="18"/>
      <c r="B414" s="35"/>
      <c r="C414" s="35"/>
      <c r="D414" s="35" t="s">
        <v>467</v>
      </c>
      <c r="E414" s="35"/>
      <c r="F414" s="35"/>
      <c r="G414" s="36">
        <v>183674089.99399999</v>
      </c>
      <c r="H414" s="36">
        <v>335978540.28399998</v>
      </c>
      <c r="I414" s="30">
        <v>82.921031646311818</v>
      </c>
      <c r="J414" s="31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1.25" customHeight="1">
      <c r="A415" s="21"/>
      <c r="B415" s="35"/>
      <c r="C415" s="35"/>
      <c r="D415" s="35" t="s">
        <v>468</v>
      </c>
      <c r="E415" s="35"/>
      <c r="F415" s="35"/>
      <c r="G415" s="36">
        <v>244808763.32300001</v>
      </c>
      <c r="H415" s="36">
        <v>450941227.92000002</v>
      </c>
      <c r="I415" s="30">
        <v>84.201423919220318</v>
      </c>
      <c r="J415" s="3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1.25" customHeight="1">
      <c r="A416" s="18"/>
      <c r="B416" s="35"/>
      <c r="C416" s="35"/>
      <c r="D416" s="35" t="s">
        <v>469</v>
      </c>
      <c r="E416" s="35"/>
      <c r="F416" s="35"/>
      <c r="G416" s="36">
        <v>196850139.333</v>
      </c>
      <c r="H416" s="36">
        <v>332476286.98199999</v>
      </c>
      <c r="I416" s="30">
        <v>68.898172035107933</v>
      </c>
      <c r="J416" s="31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1.25" customHeight="1">
      <c r="A417" s="18"/>
      <c r="B417" s="35"/>
      <c r="C417" s="35"/>
      <c r="D417" s="35" t="s">
        <v>470</v>
      </c>
      <c r="E417" s="35"/>
      <c r="F417" s="35"/>
      <c r="G417" s="36">
        <v>142489390.11500001</v>
      </c>
      <c r="H417" s="36">
        <v>271760978.41399997</v>
      </c>
      <c r="I417" s="30">
        <v>90.723658929740481</v>
      </c>
      <c r="J417" s="31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1.25" customHeight="1">
      <c r="A418" s="18"/>
      <c r="B418" s="35"/>
      <c r="C418" s="35"/>
      <c r="D418" s="35" t="s">
        <v>471</v>
      </c>
      <c r="E418" s="35"/>
      <c r="F418" s="35"/>
      <c r="G418" s="36">
        <v>54178563.82</v>
      </c>
      <c r="H418" s="36">
        <v>63241262.990999997</v>
      </c>
      <c r="I418" s="30">
        <v>16.727462915239744</v>
      </c>
      <c r="J418" s="31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1.25" customHeight="1">
      <c r="A419" s="18"/>
      <c r="B419" s="35"/>
      <c r="C419" s="35"/>
      <c r="D419" s="35" t="s">
        <v>472</v>
      </c>
      <c r="E419" s="35"/>
      <c r="F419" s="35"/>
      <c r="G419" s="36">
        <v>72018937.557999998</v>
      </c>
      <c r="H419" s="36">
        <v>69601207.591000006</v>
      </c>
      <c r="I419" s="30">
        <v>-3.3570753040516488</v>
      </c>
      <c r="J419" s="31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1.25" customHeight="1">
      <c r="A420" s="18"/>
      <c r="B420" s="35"/>
      <c r="C420" s="35"/>
      <c r="D420" s="35" t="s">
        <v>473</v>
      </c>
      <c r="E420" s="35"/>
      <c r="F420" s="35"/>
      <c r="G420" s="36">
        <v>663688003.26699996</v>
      </c>
      <c r="H420" s="36">
        <v>911501372.00899994</v>
      </c>
      <c r="I420" s="30">
        <v>37.338835043294473</v>
      </c>
      <c r="J420" s="31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1.25" customHeight="1">
      <c r="A421" s="21"/>
      <c r="B421" s="35"/>
      <c r="C421" s="35"/>
      <c r="D421" s="35" t="s">
        <v>474</v>
      </c>
      <c r="E421" s="35"/>
      <c r="F421" s="35"/>
      <c r="G421" s="36">
        <v>79750730.895999998</v>
      </c>
      <c r="H421" s="36">
        <v>87671145.5</v>
      </c>
      <c r="I421" s="30">
        <v>9.9314633421087031</v>
      </c>
      <c r="J421" s="3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1.25" customHeight="1">
      <c r="A422" s="18"/>
      <c r="B422" s="35"/>
      <c r="C422" s="35"/>
      <c r="D422" s="35" t="s">
        <v>475</v>
      </c>
      <c r="E422" s="35"/>
      <c r="F422" s="35"/>
      <c r="G422" s="36">
        <v>58179708.836999997</v>
      </c>
      <c r="H422" s="36">
        <v>134012234.795</v>
      </c>
      <c r="I422" s="30">
        <v>130.34187945226279</v>
      </c>
      <c r="J422" s="31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1.25" customHeight="1">
      <c r="A423" s="18"/>
      <c r="B423" s="35"/>
      <c r="C423" s="35"/>
      <c r="D423" s="35" t="s">
        <v>476</v>
      </c>
      <c r="E423" s="35"/>
      <c r="F423" s="35"/>
      <c r="G423" s="36">
        <v>95464877.634000003</v>
      </c>
      <c r="H423" s="36">
        <v>182726904.53600001</v>
      </c>
      <c r="I423" s="30">
        <v>91.407467400263513</v>
      </c>
      <c r="J423" s="31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1.25" customHeight="1">
      <c r="A424" s="18"/>
      <c r="B424" s="35"/>
      <c r="C424" s="35"/>
      <c r="D424" s="35"/>
      <c r="E424" s="35"/>
      <c r="F424" s="35"/>
      <c r="G424" s="36"/>
      <c r="H424" s="36"/>
      <c r="I424" s="30"/>
      <c r="J424" s="31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1.25" customHeight="1">
      <c r="A425" s="18"/>
      <c r="B425" s="18"/>
      <c r="C425" s="18"/>
      <c r="D425" s="18"/>
      <c r="E425" s="18"/>
      <c r="F425" s="18"/>
      <c r="G425" s="24"/>
      <c r="H425" s="24"/>
      <c r="I425" s="25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1.25" customHeight="1">
      <c r="A426" s="18"/>
      <c r="B426" s="18"/>
      <c r="C426" s="18"/>
      <c r="D426" s="18"/>
      <c r="E426" s="18"/>
      <c r="F426" s="18"/>
      <c r="G426" s="24"/>
      <c r="H426" s="24"/>
      <c r="I426" s="25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1.25" customHeight="1">
      <c r="A427" s="18"/>
      <c r="B427" s="18"/>
      <c r="C427" s="18"/>
      <c r="D427" s="18"/>
      <c r="E427" s="18"/>
      <c r="F427" s="18"/>
      <c r="G427" s="24"/>
      <c r="H427" s="24"/>
      <c r="I427" s="25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1.25" customHeight="1">
      <c r="A428" s="18"/>
      <c r="B428" s="18"/>
      <c r="C428" s="18"/>
      <c r="D428" s="18"/>
      <c r="E428" s="18"/>
      <c r="F428" s="18"/>
      <c r="G428" s="24"/>
      <c r="H428" s="24"/>
      <c r="I428" s="25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1.25" customHeight="1">
      <c r="A429" s="18"/>
      <c r="B429" s="35"/>
      <c r="C429" s="35"/>
      <c r="D429" s="35"/>
      <c r="E429" s="35"/>
      <c r="F429" s="35"/>
      <c r="G429" s="36"/>
      <c r="H429" s="36"/>
      <c r="I429" s="30"/>
      <c r="J429" s="31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1.25" customHeight="1">
      <c r="A430" s="18"/>
      <c r="B430" s="35"/>
      <c r="C430" s="35"/>
      <c r="D430" s="35"/>
      <c r="E430" s="35"/>
      <c r="F430" s="35"/>
      <c r="G430" s="36"/>
      <c r="H430" s="36"/>
      <c r="I430" s="30"/>
      <c r="J430" s="31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1.25" customHeight="1">
      <c r="A431" s="18"/>
      <c r="B431" s="35"/>
      <c r="C431" s="35"/>
      <c r="D431" s="35"/>
      <c r="E431" s="35"/>
      <c r="F431" s="35"/>
      <c r="G431" s="36"/>
      <c r="H431" s="36"/>
      <c r="I431" s="30"/>
      <c r="J431" s="31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24" customHeight="1">
      <c r="A432" s="18"/>
      <c r="B432" s="9" t="s">
        <v>71</v>
      </c>
      <c r="C432" s="10"/>
      <c r="D432" s="10"/>
      <c r="E432" s="10"/>
      <c r="F432" s="10"/>
      <c r="G432" s="11" t="s">
        <v>72</v>
      </c>
      <c r="H432" s="11" t="s">
        <v>73</v>
      </c>
      <c r="I432" s="12" t="s">
        <v>74</v>
      </c>
      <c r="J432" s="31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5.25" customHeight="1">
      <c r="A433" s="18"/>
      <c r="B433" s="35"/>
      <c r="C433" s="35"/>
      <c r="D433" s="35"/>
      <c r="E433" s="35"/>
      <c r="F433" s="35"/>
      <c r="G433" s="36"/>
      <c r="H433" s="36"/>
      <c r="I433" s="30"/>
      <c r="J433" s="31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1.25" customHeight="1">
      <c r="A434" s="26"/>
      <c r="B434" s="28"/>
      <c r="C434" s="28" t="s">
        <v>477</v>
      </c>
      <c r="D434" s="26"/>
      <c r="E434" s="28"/>
      <c r="F434" s="28"/>
      <c r="G434" s="29">
        <v>1143420982.142</v>
      </c>
      <c r="H434" s="29">
        <v>1651303422.3069999</v>
      </c>
      <c r="I434" s="30">
        <v>44.41779957663281</v>
      </c>
      <c r="J434" s="31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11.25" customHeight="1">
      <c r="A435" s="18"/>
      <c r="B435" s="35"/>
      <c r="C435" s="35"/>
      <c r="D435" s="35" t="s">
        <v>478</v>
      </c>
      <c r="E435" s="35"/>
      <c r="F435" s="35"/>
      <c r="G435" s="36">
        <v>1120159650.4879999</v>
      </c>
      <c r="H435" s="36">
        <v>1620365939.964</v>
      </c>
      <c r="I435" s="30">
        <v>44.654910508344429</v>
      </c>
      <c r="J435" s="31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1.25" customHeight="1">
      <c r="A436" s="18"/>
      <c r="B436" s="35"/>
      <c r="C436" s="35"/>
      <c r="D436" s="35" t="s">
        <v>479</v>
      </c>
      <c r="E436" s="35"/>
      <c r="F436" s="35"/>
      <c r="G436" s="36">
        <v>22001399.436999999</v>
      </c>
      <c r="H436" s="36">
        <v>29437968.234999999</v>
      </c>
      <c r="I436" s="30">
        <v>33.800435373641925</v>
      </c>
      <c r="J436" s="31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1.25" customHeight="1">
      <c r="A437" s="18"/>
      <c r="B437" s="35"/>
      <c r="C437" s="35"/>
      <c r="D437" s="35" t="s">
        <v>480</v>
      </c>
      <c r="E437" s="35"/>
      <c r="F437" s="35"/>
      <c r="G437" s="36">
        <v>1259932.2169999999</v>
      </c>
      <c r="H437" s="36">
        <v>1499514.108</v>
      </c>
      <c r="I437" s="30">
        <v>19.015458749873382</v>
      </c>
      <c r="J437" s="31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1.25" customHeight="1">
      <c r="A438" s="18"/>
      <c r="B438" s="35"/>
      <c r="C438" s="35"/>
      <c r="D438" s="35"/>
      <c r="E438" s="35"/>
      <c r="F438" s="35"/>
      <c r="G438" s="36"/>
      <c r="H438" s="36"/>
      <c r="I438" s="30"/>
      <c r="J438" s="31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1.25" customHeight="1">
      <c r="A439" s="26"/>
      <c r="B439" s="28"/>
      <c r="C439" s="28" t="s">
        <v>481</v>
      </c>
      <c r="D439" s="26"/>
      <c r="E439" s="28"/>
      <c r="F439" s="28"/>
      <c r="G439" s="29">
        <v>33533004.055</v>
      </c>
      <c r="H439" s="29">
        <v>34492612.186999999</v>
      </c>
      <c r="I439" s="30">
        <v>2.8616825692862946</v>
      </c>
      <c r="J439" s="31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11.25" customHeight="1">
      <c r="A440" s="18"/>
      <c r="B440" s="35"/>
      <c r="C440" s="35"/>
      <c r="D440" s="35" t="s">
        <v>482</v>
      </c>
      <c r="E440" s="35"/>
      <c r="F440" s="35"/>
      <c r="G440" s="36">
        <v>24778925.407000002</v>
      </c>
      <c r="H440" s="36">
        <v>27821844.949000001</v>
      </c>
      <c r="I440" s="30">
        <v>12.280272417061244</v>
      </c>
      <c r="J440" s="31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1.25" customHeight="1">
      <c r="A441" s="18"/>
      <c r="B441" s="35"/>
      <c r="C441" s="35"/>
      <c r="D441" s="35" t="s">
        <v>483</v>
      </c>
      <c r="E441" s="35"/>
      <c r="F441" s="35"/>
      <c r="G441" s="36">
        <v>8754078.648</v>
      </c>
      <c r="H441" s="36">
        <v>6670767.2379999999</v>
      </c>
      <c r="I441" s="30">
        <v>-23.798180182856409</v>
      </c>
      <c r="J441" s="31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1.25" hidden="1" customHeight="1">
      <c r="A442" s="18"/>
      <c r="B442" s="35"/>
      <c r="C442" s="35"/>
      <c r="D442" s="35" t="s">
        <v>484</v>
      </c>
      <c r="E442" s="35"/>
      <c r="F442" s="35"/>
      <c r="G442" s="36">
        <v>0</v>
      </c>
      <c r="H442" s="36">
        <v>0</v>
      </c>
      <c r="I442" s="30">
        <v>0</v>
      </c>
      <c r="J442" s="31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1.25" customHeight="1">
      <c r="A443" s="18"/>
      <c r="B443" s="18"/>
      <c r="C443" s="18"/>
      <c r="D443" s="18"/>
      <c r="E443" s="18"/>
      <c r="F443" s="18"/>
      <c r="G443" s="24"/>
      <c r="H443" s="24"/>
      <c r="I443" s="25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1.25" customHeight="1">
      <c r="A444" s="26"/>
      <c r="B444" s="28"/>
      <c r="C444" s="28" t="s">
        <v>485</v>
      </c>
      <c r="D444" s="26"/>
      <c r="E444" s="28"/>
      <c r="F444" s="28"/>
      <c r="G444" s="29">
        <v>1132882862.7420001</v>
      </c>
      <c r="H444" s="29">
        <v>1266308634.743</v>
      </c>
      <c r="I444" s="30">
        <v>11.777543503311506</v>
      </c>
      <c r="J444" s="31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11.25" customHeight="1">
      <c r="A445" s="18"/>
      <c r="B445" s="35"/>
      <c r="C445" s="35"/>
      <c r="D445" s="35" t="s">
        <v>486</v>
      </c>
      <c r="E445" s="35"/>
      <c r="F445" s="35"/>
      <c r="G445" s="36">
        <v>470966977.17699999</v>
      </c>
      <c r="H445" s="36">
        <v>400227121.51700002</v>
      </c>
      <c r="I445" s="30">
        <v>-15.020130728489345</v>
      </c>
      <c r="J445" s="31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1.25" customHeight="1">
      <c r="A446" s="18"/>
      <c r="B446" s="35"/>
      <c r="C446" s="35"/>
      <c r="D446" s="35" t="s">
        <v>487</v>
      </c>
      <c r="E446" s="35"/>
      <c r="F446" s="35"/>
      <c r="G446" s="36">
        <v>72678952.316</v>
      </c>
      <c r="H446" s="36">
        <v>75716144</v>
      </c>
      <c r="I446" s="30">
        <v>4.1789150602978165</v>
      </c>
      <c r="J446" s="31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1.25" hidden="1" customHeight="1">
      <c r="A447" s="18"/>
      <c r="B447" s="35"/>
      <c r="C447" s="35"/>
      <c r="D447" s="35" t="s">
        <v>488</v>
      </c>
      <c r="E447" s="35"/>
      <c r="F447" s="35"/>
      <c r="G447" s="36">
        <v>0</v>
      </c>
      <c r="H447" s="36">
        <v>0</v>
      </c>
      <c r="I447" s="30">
        <v>0</v>
      </c>
      <c r="J447" s="31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1.25" customHeight="1">
      <c r="A448" s="18"/>
      <c r="B448" s="35"/>
      <c r="C448" s="35"/>
      <c r="D448" s="35" t="s">
        <v>489</v>
      </c>
      <c r="E448" s="35"/>
      <c r="F448" s="35"/>
      <c r="G448" s="36">
        <v>7190853.2939999998</v>
      </c>
      <c r="H448" s="36">
        <v>8142600.1380000003</v>
      </c>
      <c r="I448" s="30">
        <v>13.235520251736066</v>
      </c>
      <c r="J448" s="31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1.25" customHeight="1">
      <c r="A449" s="18"/>
      <c r="B449" s="35"/>
      <c r="C449" s="35"/>
      <c r="D449" s="35" t="s">
        <v>490</v>
      </c>
      <c r="E449" s="35"/>
      <c r="F449" s="35"/>
      <c r="G449" s="36">
        <v>97439532.090000004</v>
      </c>
      <c r="H449" s="36">
        <v>149198528.04800001</v>
      </c>
      <c r="I449" s="30">
        <v>53.119093295925126</v>
      </c>
      <c r="J449" s="31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1.25" customHeight="1">
      <c r="A450" s="18"/>
      <c r="B450" s="35"/>
      <c r="C450" s="35"/>
      <c r="D450" s="35" t="s">
        <v>491</v>
      </c>
      <c r="E450" s="35"/>
      <c r="F450" s="35"/>
      <c r="G450" s="36">
        <v>31055415.502999999</v>
      </c>
      <c r="H450" s="36">
        <v>15750496.737</v>
      </c>
      <c r="I450" s="30">
        <v>-49.282608260454673</v>
      </c>
      <c r="J450" s="31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1.25" customHeight="1">
      <c r="A451" s="18"/>
      <c r="B451" s="35"/>
      <c r="C451" s="35"/>
      <c r="D451" s="35" t="s">
        <v>492</v>
      </c>
      <c r="E451" s="35"/>
      <c r="F451" s="35"/>
      <c r="G451" s="36">
        <v>42302437.472000003</v>
      </c>
      <c r="H451" s="36">
        <v>15901308.98</v>
      </c>
      <c r="I451" s="30">
        <v>-62.410419043760591</v>
      </c>
      <c r="J451" s="31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1.25" customHeight="1">
      <c r="A452" s="18"/>
      <c r="B452" s="35"/>
      <c r="C452" s="35"/>
      <c r="D452" s="35" t="s">
        <v>493</v>
      </c>
      <c r="E452" s="35"/>
      <c r="F452" s="35"/>
      <c r="G452" s="36">
        <v>24908059.217999998</v>
      </c>
      <c r="H452" s="36">
        <v>31249448.603</v>
      </c>
      <c r="I452" s="30">
        <v>25.45918704263137</v>
      </c>
      <c r="J452" s="31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1.25" customHeight="1">
      <c r="A453" s="18"/>
      <c r="B453" s="35"/>
      <c r="C453" s="35"/>
      <c r="D453" s="35" t="s">
        <v>494</v>
      </c>
      <c r="E453" s="35"/>
      <c r="F453" s="35"/>
      <c r="G453" s="36">
        <v>54401553.961000003</v>
      </c>
      <c r="H453" s="36">
        <v>84158083.032000005</v>
      </c>
      <c r="I453" s="30">
        <v>54.697939496971351</v>
      </c>
      <c r="J453" s="31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1.25" customHeight="1">
      <c r="A454" s="18"/>
      <c r="B454" s="35"/>
      <c r="C454" s="35"/>
      <c r="D454" s="35" t="s">
        <v>495</v>
      </c>
      <c r="E454" s="35"/>
      <c r="F454" s="35"/>
      <c r="G454" s="36">
        <v>331939081.71100003</v>
      </c>
      <c r="H454" s="36">
        <v>485964903.68800002</v>
      </c>
      <c r="I454" s="30">
        <v>46.401834090479667</v>
      </c>
      <c r="J454" s="31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1.25" customHeight="1">
      <c r="A455" s="18"/>
      <c r="B455" s="32"/>
      <c r="C455" s="32"/>
      <c r="D455" s="32"/>
      <c r="E455" s="32"/>
      <c r="F455" s="32"/>
      <c r="G455" s="24"/>
      <c r="H455" s="24"/>
      <c r="I455" s="30"/>
      <c r="J455" s="31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1.25" customHeight="1">
      <c r="A456" s="26"/>
      <c r="B456" s="28"/>
      <c r="C456" s="28" t="s">
        <v>496</v>
      </c>
      <c r="D456" s="26"/>
      <c r="E456" s="28"/>
      <c r="F456" s="28"/>
      <c r="G456" s="29">
        <v>25740863.423999999</v>
      </c>
      <c r="H456" s="29">
        <v>17385558.280000001</v>
      </c>
      <c r="I456" s="30">
        <v>-32.459304128119356</v>
      </c>
      <c r="J456" s="31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11.25" customHeight="1">
      <c r="A457" s="18"/>
      <c r="B457" s="35"/>
      <c r="C457" s="35"/>
      <c r="D457" s="35" t="s">
        <v>497</v>
      </c>
      <c r="E457" s="35"/>
      <c r="F457" s="35"/>
      <c r="G457" s="36">
        <v>25740863.423999999</v>
      </c>
      <c r="H457" s="36">
        <v>17385558.280000001</v>
      </c>
      <c r="I457" s="30">
        <v>-32.459304128119356</v>
      </c>
      <c r="J457" s="31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1.25" customHeight="1">
      <c r="A458" s="18"/>
      <c r="B458" s="35"/>
      <c r="C458" s="35"/>
      <c r="D458" s="35"/>
      <c r="E458" s="35"/>
      <c r="F458" s="35"/>
      <c r="G458" s="36"/>
      <c r="H458" s="36"/>
      <c r="I458" s="30"/>
      <c r="J458" s="31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1.25" customHeight="1">
      <c r="A459" s="26"/>
      <c r="B459" s="28"/>
      <c r="C459" s="28" t="s">
        <v>498</v>
      </c>
      <c r="D459" s="26"/>
      <c r="E459" s="28"/>
      <c r="F459" s="28"/>
      <c r="G459" s="29">
        <v>235847874</v>
      </c>
      <c r="H459" s="29">
        <v>273319671.19800001</v>
      </c>
      <c r="I459" s="30">
        <v>15.888121678807243</v>
      </c>
      <c r="J459" s="31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11.25" customHeight="1">
      <c r="A460" s="18"/>
      <c r="B460" s="35"/>
      <c r="C460" s="35"/>
      <c r="D460" s="35" t="s">
        <v>499</v>
      </c>
      <c r="E460" s="35"/>
      <c r="F460" s="35"/>
      <c r="G460" s="36">
        <v>235847874</v>
      </c>
      <c r="H460" s="36">
        <v>273319671.19800001</v>
      </c>
      <c r="I460" s="30">
        <v>15.888121678807243</v>
      </c>
      <c r="J460" s="31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1.25" customHeight="1">
      <c r="A461" s="18"/>
      <c r="B461" s="35"/>
      <c r="C461" s="35"/>
      <c r="D461" s="35"/>
      <c r="E461" s="35"/>
      <c r="F461" s="35"/>
      <c r="G461" s="36"/>
      <c r="H461" s="36"/>
      <c r="I461" s="30"/>
      <c r="J461" s="31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1.25" customHeight="1">
      <c r="A462" s="26"/>
      <c r="B462" s="28"/>
      <c r="C462" s="28" t="s">
        <v>500</v>
      </c>
      <c r="D462" s="26"/>
      <c r="E462" s="28"/>
      <c r="F462" s="28"/>
      <c r="G462" s="29">
        <v>135201152.743</v>
      </c>
      <c r="H462" s="29">
        <v>116788191.55</v>
      </c>
      <c r="I462" s="30">
        <v>-13.618938018968429</v>
      </c>
      <c r="J462" s="31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11.25" customHeight="1">
      <c r="A463" s="18"/>
      <c r="B463" s="35"/>
      <c r="C463" s="35"/>
      <c r="D463" s="35" t="s">
        <v>501</v>
      </c>
      <c r="E463" s="35"/>
      <c r="F463" s="35"/>
      <c r="G463" s="36">
        <v>103039022.359</v>
      </c>
      <c r="H463" s="36">
        <v>77343858.221000001</v>
      </c>
      <c r="I463" s="30">
        <v>-24.937313601904176</v>
      </c>
      <c r="J463" s="31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1.25" customHeight="1">
      <c r="A464" s="21"/>
      <c r="B464" s="35"/>
      <c r="C464" s="35"/>
      <c r="D464" s="35" t="s">
        <v>502</v>
      </c>
      <c r="E464" s="35"/>
      <c r="F464" s="35"/>
      <c r="G464" s="36">
        <v>7010829.8720000004</v>
      </c>
      <c r="H464" s="36">
        <v>8539461.9299999997</v>
      </c>
      <c r="I464" s="30">
        <v>21.803867529364563</v>
      </c>
      <c r="J464" s="3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1.25" customHeight="1">
      <c r="A465" s="21"/>
      <c r="B465" s="35"/>
      <c r="C465" s="35"/>
      <c r="D465" s="35" t="s">
        <v>503</v>
      </c>
      <c r="E465" s="35"/>
      <c r="F465" s="35"/>
      <c r="G465" s="36">
        <v>9501431.0380000006</v>
      </c>
      <c r="H465" s="36">
        <v>13239039.912</v>
      </c>
      <c r="I465" s="30">
        <v>39.337325704431422</v>
      </c>
      <c r="J465" s="3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1.25" customHeight="1">
      <c r="A466" s="21"/>
      <c r="B466" s="35"/>
      <c r="C466" s="35"/>
      <c r="D466" s="21" t="s">
        <v>504</v>
      </c>
      <c r="E466" s="35"/>
      <c r="F466" s="35"/>
      <c r="G466" s="36">
        <v>15649869.473999999</v>
      </c>
      <c r="H466" s="36">
        <v>17665831.487</v>
      </c>
      <c r="I466" s="30">
        <v>12.881653846054309</v>
      </c>
      <c r="J466" s="3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1.25" customHeight="1">
      <c r="A467" s="21"/>
      <c r="B467" s="35"/>
      <c r="C467" s="35"/>
      <c r="D467" s="35"/>
      <c r="E467" s="35"/>
      <c r="F467" s="35"/>
      <c r="G467" s="36"/>
      <c r="H467" s="36"/>
      <c r="I467" s="30"/>
      <c r="J467" s="3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1.25" customHeight="1">
      <c r="A468" s="26"/>
      <c r="B468" s="28"/>
      <c r="C468" s="28" t="s">
        <v>505</v>
      </c>
      <c r="D468" s="26"/>
      <c r="E468" s="28"/>
      <c r="F468" s="28"/>
      <c r="G468" s="29">
        <v>61369671.582999997</v>
      </c>
      <c r="H468" s="29">
        <v>73516834.344999999</v>
      </c>
      <c r="I468" s="30">
        <v>19.793429634980942</v>
      </c>
      <c r="J468" s="31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11.25" customHeight="1">
      <c r="A469" s="21"/>
      <c r="B469" s="35"/>
      <c r="C469" s="35"/>
      <c r="D469" s="35" t="s">
        <v>506</v>
      </c>
      <c r="E469" s="35"/>
      <c r="F469" s="35"/>
      <c r="G469" s="36">
        <v>30231803.605999999</v>
      </c>
      <c r="H469" s="36">
        <v>35733711</v>
      </c>
      <c r="I469" s="30">
        <v>18.199070970770848</v>
      </c>
      <c r="J469" s="3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1.25" customHeight="1">
      <c r="A470" s="21"/>
      <c r="B470" s="35"/>
      <c r="C470" s="35"/>
      <c r="D470" s="35" t="s">
        <v>507</v>
      </c>
      <c r="E470" s="35"/>
      <c r="F470" s="35"/>
      <c r="G470" s="36">
        <v>17618958.82</v>
      </c>
      <c r="H470" s="36">
        <v>20161260.686999999</v>
      </c>
      <c r="I470" s="30">
        <v>14.429353589918881</v>
      </c>
      <c r="J470" s="3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1.25" customHeight="1">
      <c r="A471" s="21"/>
      <c r="B471" s="35"/>
      <c r="C471" s="35"/>
      <c r="D471" s="35" t="s">
        <v>508</v>
      </c>
      <c r="E471" s="35"/>
      <c r="F471" s="35"/>
      <c r="G471" s="36">
        <v>13518909.157</v>
      </c>
      <c r="H471" s="36">
        <v>17375080.658</v>
      </c>
      <c r="I471" s="30">
        <v>28.524280000826096</v>
      </c>
      <c r="J471" s="3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1.25" customHeight="1">
      <c r="A472" s="21"/>
      <c r="B472" s="35"/>
      <c r="C472" s="35"/>
      <c r="D472" s="35" t="s">
        <v>509</v>
      </c>
      <c r="E472" s="35"/>
      <c r="F472" s="35"/>
      <c r="G472" s="36">
        <v>0</v>
      </c>
      <c r="H472" s="36">
        <v>246782</v>
      </c>
      <c r="I472" s="30">
        <v>0</v>
      </c>
      <c r="J472" s="3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1.25" customHeight="1">
      <c r="A473" s="21"/>
      <c r="B473" s="35"/>
      <c r="C473" s="35"/>
      <c r="D473" s="35"/>
      <c r="E473" s="35"/>
      <c r="F473" s="35"/>
      <c r="G473" s="36"/>
      <c r="H473" s="36"/>
      <c r="I473" s="47"/>
      <c r="J473" s="3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1.25" customHeight="1">
      <c r="A474" s="26"/>
      <c r="B474" s="28"/>
      <c r="C474" s="28" t="s">
        <v>510</v>
      </c>
      <c r="D474" s="26"/>
      <c r="E474" s="28"/>
      <c r="F474" s="28"/>
      <c r="G474" s="29">
        <v>206539484.56199998</v>
      </c>
      <c r="H474" s="29">
        <v>148741598.01300001</v>
      </c>
      <c r="I474" s="30">
        <v>-27.983940538812536</v>
      </c>
      <c r="J474" s="31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11.25" customHeight="1">
      <c r="A475" s="21"/>
      <c r="B475" s="35"/>
      <c r="C475" s="35"/>
      <c r="D475" s="35" t="s">
        <v>511</v>
      </c>
      <c r="E475" s="35"/>
      <c r="F475" s="35"/>
      <c r="G475" s="36">
        <v>7576074.8830000004</v>
      </c>
      <c r="H475" s="36">
        <v>9701434.727</v>
      </c>
      <c r="I475" s="30">
        <v>28.053574929269875</v>
      </c>
      <c r="J475" s="3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1.25" customHeight="1">
      <c r="A476" s="21"/>
      <c r="B476" s="35"/>
      <c r="C476" s="35"/>
      <c r="D476" s="35" t="s">
        <v>512</v>
      </c>
      <c r="E476" s="35"/>
      <c r="F476" s="35"/>
      <c r="G476" s="36">
        <v>198963409.67899999</v>
      </c>
      <c r="H476" s="36">
        <v>139040163.28600001</v>
      </c>
      <c r="I476" s="30">
        <v>-30.11772189151657</v>
      </c>
      <c r="J476" s="3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1.25" customHeight="1">
      <c r="A477" s="21"/>
      <c r="B477" s="35"/>
      <c r="C477" s="35"/>
      <c r="D477" s="35"/>
      <c r="E477" s="35"/>
      <c r="F477" s="35"/>
      <c r="G477" s="36"/>
      <c r="H477" s="36"/>
      <c r="I477" s="30"/>
      <c r="J477" s="3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1.25" customHeight="1">
      <c r="A478" s="26"/>
      <c r="B478" s="28"/>
      <c r="C478" s="28" t="s">
        <v>513</v>
      </c>
      <c r="D478" s="26"/>
      <c r="E478" s="28"/>
      <c r="F478" s="28"/>
      <c r="G478" s="29">
        <v>71094742.784999996</v>
      </c>
      <c r="H478" s="29">
        <v>83360214.805999994</v>
      </c>
      <c r="I478" s="30">
        <v>17.252291154765722</v>
      </c>
      <c r="J478" s="31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11.25" customHeight="1">
      <c r="A479" s="21"/>
      <c r="B479" s="35"/>
      <c r="C479" s="35"/>
      <c r="D479" s="35" t="s">
        <v>514</v>
      </c>
      <c r="E479" s="35"/>
      <c r="F479" s="35"/>
      <c r="G479" s="36">
        <v>7648983.3449999997</v>
      </c>
      <c r="H479" s="36">
        <v>12909085.130000001</v>
      </c>
      <c r="I479" s="30">
        <v>68.768639540030293</v>
      </c>
      <c r="J479" s="3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1.25" customHeight="1">
      <c r="A480" s="21"/>
      <c r="B480" s="35"/>
      <c r="C480" s="35"/>
      <c r="D480" s="35" t="s">
        <v>515</v>
      </c>
      <c r="E480" s="35"/>
      <c r="F480" s="35"/>
      <c r="G480" s="36">
        <v>63445759.439999998</v>
      </c>
      <c r="H480" s="36">
        <v>70451129.675999999</v>
      </c>
      <c r="I480" s="30">
        <v>11.041510571916003</v>
      </c>
      <c r="J480" s="3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1.25" customHeight="1">
      <c r="A481" s="21"/>
      <c r="B481" s="35"/>
      <c r="C481" s="35"/>
      <c r="D481" s="35"/>
      <c r="E481" s="35"/>
      <c r="F481" s="35"/>
      <c r="G481" s="36"/>
      <c r="H481" s="36"/>
      <c r="I481" s="30"/>
      <c r="J481" s="3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1.25" customHeight="1">
      <c r="A482" s="21"/>
      <c r="B482" s="35"/>
      <c r="C482" s="28" t="s">
        <v>516</v>
      </c>
      <c r="D482" s="26"/>
      <c r="E482" s="35"/>
      <c r="F482" s="35"/>
      <c r="G482" s="29">
        <v>75991885.282000005</v>
      </c>
      <c r="H482" s="29">
        <v>87348214.474999994</v>
      </c>
      <c r="I482" s="30">
        <v>14.944134035966506</v>
      </c>
      <c r="J482" s="3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1.25" customHeight="1">
      <c r="A483" s="21"/>
      <c r="B483" s="35"/>
      <c r="C483" s="35"/>
      <c r="D483" s="35" t="s">
        <v>517</v>
      </c>
      <c r="E483" s="35"/>
      <c r="F483" s="35"/>
      <c r="G483" s="36">
        <v>75991885.282000005</v>
      </c>
      <c r="H483" s="36">
        <v>87348214.474999994</v>
      </c>
      <c r="I483" s="30">
        <v>14.944134035966506</v>
      </c>
      <c r="J483" s="3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1.25" customHeight="1">
      <c r="A484" s="21"/>
      <c r="B484" s="35"/>
      <c r="C484" s="35"/>
      <c r="D484" s="35"/>
      <c r="E484" s="35"/>
      <c r="F484" s="35"/>
      <c r="G484" s="36"/>
      <c r="H484" s="36"/>
      <c r="I484" s="30"/>
      <c r="J484" s="3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1.25" customHeight="1">
      <c r="A485" s="18"/>
      <c r="B485" s="18"/>
      <c r="C485" s="18"/>
      <c r="D485" s="18"/>
      <c r="E485" s="18"/>
      <c r="F485" s="18"/>
      <c r="G485" s="24"/>
      <c r="H485" s="24"/>
      <c r="I485" s="25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1.25" customHeight="1">
      <c r="A486" s="18"/>
      <c r="B486" s="18"/>
      <c r="C486" s="18"/>
      <c r="D486" s="18"/>
      <c r="E486" s="18"/>
      <c r="F486" s="18"/>
      <c r="G486" s="24"/>
      <c r="H486" s="24"/>
      <c r="I486" s="25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1.25" customHeight="1">
      <c r="A487" s="18"/>
      <c r="B487" s="18"/>
      <c r="C487" s="18"/>
      <c r="D487" s="18"/>
      <c r="E487" s="18"/>
      <c r="F487" s="18"/>
      <c r="G487" s="24"/>
      <c r="H487" s="24"/>
      <c r="I487" s="25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1.25" customHeight="1">
      <c r="A488" s="18"/>
      <c r="B488" s="18"/>
      <c r="C488" s="18"/>
      <c r="D488" s="18"/>
      <c r="E488" s="18"/>
      <c r="F488" s="18"/>
      <c r="G488" s="24"/>
      <c r="H488" s="24"/>
      <c r="I488" s="25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1.25" customHeight="1">
      <c r="A489" s="18"/>
      <c r="B489" s="18"/>
      <c r="C489" s="18"/>
      <c r="D489" s="18"/>
      <c r="E489" s="18"/>
      <c r="F489" s="18"/>
      <c r="G489" s="24"/>
      <c r="H489" s="24"/>
      <c r="I489" s="25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1.25" customHeight="1">
      <c r="A490" s="18"/>
      <c r="B490" s="18"/>
      <c r="C490" s="18"/>
      <c r="D490" s="18"/>
      <c r="E490" s="18"/>
      <c r="F490" s="18"/>
      <c r="G490" s="24"/>
      <c r="H490" s="24"/>
      <c r="I490" s="25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1.25" customHeight="1">
      <c r="A491" s="21"/>
      <c r="B491" s="35"/>
      <c r="C491" s="35"/>
      <c r="D491" s="35"/>
      <c r="E491" s="35"/>
      <c r="F491" s="35"/>
      <c r="G491" s="36"/>
      <c r="H491" s="36"/>
      <c r="I491" s="30"/>
      <c r="J491" s="3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1.25" customHeight="1">
      <c r="A492" s="21"/>
      <c r="B492" s="35"/>
      <c r="C492" s="35"/>
      <c r="D492" s="35"/>
      <c r="E492" s="35"/>
      <c r="F492" s="35"/>
      <c r="G492" s="36"/>
      <c r="H492" s="36"/>
      <c r="I492" s="30"/>
      <c r="J492" s="3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1.25" customHeight="1">
      <c r="A493" s="21"/>
      <c r="B493" s="35"/>
      <c r="C493" s="35"/>
      <c r="D493" s="35"/>
      <c r="E493" s="35"/>
      <c r="F493" s="35"/>
      <c r="G493" s="36"/>
      <c r="H493" s="36"/>
      <c r="I493" s="30"/>
      <c r="J493" s="3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24" customHeight="1">
      <c r="A494" s="18"/>
      <c r="B494" s="9" t="s">
        <v>71</v>
      </c>
      <c r="C494" s="10"/>
      <c r="D494" s="10"/>
      <c r="E494" s="10"/>
      <c r="F494" s="10"/>
      <c r="G494" s="11" t="s">
        <v>72</v>
      </c>
      <c r="H494" s="11" t="s">
        <v>73</v>
      </c>
      <c r="I494" s="12" t="s">
        <v>74</v>
      </c>
      <c r="J494" s="31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5.25" customHeight="1">
      <c r="A495" s="18"/>
      <c r="B495" s="35"/>
      <c r="C495" s="35"/>
      <c r="D495" s="35"/>
      <c r="E495" s="35"/>
      <c r="F495" s="35"/>
      <c r="G495" s="36"/>
      <c r="H495" s="36"/>
      <c r="I495" s="30"/>
      <c r="J495" s="31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1.25" customHeight="1">
      <c r="A496" s="21"/>
      <c r="B496" s="35"/>
      <c r="C496" s="28" t="s">
        <v>518</v>
      </c>
      <c r="D496" s="26"/>
      <c r="E496" s="35"/>
      <c r="F496" s="35"/>
      <c r="G496" s="29">
        <v>213570578.671</v>
      </c>
      <c r="H496" s="29">
        <v>275788683.75</v>
      </c>
      <c r="I496" s="30">
        <v>29.132339045091694</v>
      </c>
      <c r="J496" s="3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1.25" customHeight="1">
      <c r="A497" s="21"/>
      <c r="B497" s="35"/>
      <c r="C497" s="35"/>
      <c r="D497" s="35" t="s">
        <v>519</v>
      </c>
      <c r="E497" s="35"/>
      <c r="F497" s="35"/>
      <c r="G497" s="36">
        <v>136141660.48100001</v>
      </c>
      <c r="H497" s="36">
        <v>164384447.11399999</v>
      </c>
      <c r="I497" s="30">
        <v>20.745146293365192</v>
      </c>
      <c r="J497" s="3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1.25" customHeight="1">
      <c r="A498" s="21"/>
      <c r="B498" s="35"/>
      <c r="C498" s="35"/>
      <c r="D498" s="35" t="s">
        <v>520</v>
      </c>
      <c r="E498" s="35"/>
      <c r="F498" s="35"/>
      <c r="G498" s="36">
        <v>2185255.3659999999</v>
      </c>
      <c r="H498" s="36">
        <v>3158053.9709999999</v>
      </c>
      <c r="I498" s="30">
        <v>44.516472543008057</v>
      </c>
      <c r="J498" s="3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1.25" customHeight="1">
      <c r="A499" s="21"/>
      <c r="B499" s="35"/>
      <c r="C499" s="35"/>
      <c r="D499" s="35" t="s">
        <v>521</v>
      </c>
      <c r="E499" s="35"/>
      <c r="F499" s="35"/>
      <c r="G499" s="36">
        <v>75243662.824000001</v>
      </c>
      <c r="H499" s="36">
        <v>108246182.66500001</v>
      </c>
      <c r="I499" s="30">
        <v>43.860862964891979</v>
      </c>
      <c r="J499" s="3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1.25" customHeight="1">
      <c r="A500" s="18"/>
      <c r="B500" s="35"/>
      <c r="C500" s="35"/>
      <c r="D500" s="35"/>
      <c r="E500" s="35"/>
      <c r="F500" s="35"/>
      <c r="G500" s="36"/>
      <c r="H500" s="36"/>
      <c r="I500" s="30"/>
      <c r="J500" s="31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1.25" customHeight="1">
      <c r="A501" s="21"/>
      <c r="B501" s="35"/>
      <c r="C501" s="28" t="s">
        <v>522</v>
      </c>
      <c r="D501" s="26"/>
      <c r="E501" s="35"/>
      <c r="F501" s="35"/>
      <c r="G501" s="29">
        <v>435061683.96500003</v>
      </c>
      <c r="H501" s="29">
        <v>492983589.95300001</v>
      </c>
      <c r="I501" s="30">
        <v>13.313492804082404</v>
      </c>
      <c r="J501" s="3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1.25" customHeight="1">
      <c r="A502" s="21"/>
      <c r="B502" s="35"/>
      <c r="C502" s="35"/>
      <c r="D502" s="35" t="s">
        <v>523</v>
      </c>
      <c r="E502" s="35"/>
      <c r="F502" s="35"/>
      <c r="G502" s="36">
        <v>140167740.368</v>
      </c>
      <c r="H502" s="36">
        <v>174438601</v>
      </c>
      <c r="I502" s="30">
        <v>24.449891638421505</v>
      </c>
      <c r="J502" s="3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1.25" customHeight="1">
      <c r="A503" s="21"/>
      <c r="B503" s="35"/>
      <c r="C503" s="35"/>
      <c r="D503" s="35" t="s">
        <v>524</v>
      </c>
      <c r="E503" s="35"/>
      <c r="F503" s="35"/>
      <c r="G503" s="36">
        <v>294893943.597</v>
      </c>
      <c r="H503" s="36">
        <v>318544988.95300001</v>
      </c>
      <c r="I503" s="30">
        <v>8.0201868738007498</v>
      </c>
      <c r="J503" s="3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1.25" customHeight="1">
      <c r="A504" s="21"/>
      <c r="B504" s="35"/>
      <c r="C504" s="35"/>
      <c r="D504" s="35"/>
      <c r="E504" s="35"/>
      <c r="F504" s="35"/>
      <c r="G504" s="36"/>
      <c r="H504" s="36"/>
      <c r="I504" s="30"/>
      <c r="J504" s="3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1.25" customHeight="1">
      <c r="A505" s="21"/>
      <c r="B505" s="35"/>
      <c r="C505" s="28" t="s">
        <v>525</v>
      </c>
      <c r="D505" s="26"/>
      <c r="E505" s="35"/>
      <c r="F505" s="35"/>
      <c r="G505" s="29">
        <v>0</v>
      </c>
      <c r="H505" s="29">
        <v>661242661.21300006</v>
      </c>
      <c r="I505" s="30">
        <v>0</v>
      </c>
      <c r="J505" s="3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1.25" customHeight="1">
      <c r="A506" s="21"/>
      <c r="B506" s="35"/>
      <c r="C506" s="35"/>
      <c r="D506" s="35" t="s">
        <v>526</v>
      </c>
      <c r="E506" s="35"/>
      <c r="F506" s="35"/>
      <c r="G506" s="36">
        <v>0</v>
      </c>
      <c r="H506" s="36">
        <v>126313204.05500001</v>
      </c>
      <c r="I506" s="30">
        <v>0</v>
      </c>
      <c r="J506" s="3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1.25" customHeight="1">
      <c r="A507" s="18"/>
      <c r="B507" s="35"/>
      <c r="C507" s="35"/>
      <c r="D507" s="35" t="s">
        <v>527</v>
      </c>
      <c r="E507" s="35"/>
      <c r="F507" s="35"/>
      <c r="G507" s="36">
        <v>0</v>
      </c>
      <c r="H507" s="36">
        <v>534929457.15799999</v>
      </c>
      <c r="I507" s="30">
        <v>0</v>
      </c>
      <c r="J507" s="31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1.25" customHeight="1">
      <c r="A508" s="18"/>
      <c r="B508" s="35"/>
      <c r="C508" s="35"/>
      <c r="D508" s="35"/>
      <c r="E508" s="35"/>
      <c r="F508" s="35"/>
      <c r="G508" s="36"/>
      <c r="H508" s="36"/>
      <c r="I508" s="30"/>
      <c r="J508" s="31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1.25" customHeight="1">
      <c r="A509" s="21"/>
      <c r="B509" s="35"/>
      <c r="C509" s="3" t="s">
        <v>45</v>
      </c>
      <c r="D509" s="35"/>
      <c r="E509" s="35"/>
      <c r="F509" s="35"/>
      <c r="G509" s="29">
        <v>827087645.71708822</v>
      </c>
      <c r="H509" s="29">
        <v>1149998286.2429233</v>
      </c>
      <c r="I509" s="30">
        <v>39.04188899422747</v>
      </c>
      <c r="J509" s="3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1.25" customHeight="1">
      <c r="A510" s="21"/>
      <c r="B510" s="35"/>
      <c r="C510" s="35"/>
      <c r="D510" s="35" t="s">
        <v>528</v>
      </c>
      <c r="E510" s="35"/>
      <c r="F510" s="35"/>
      <c r="G510" s="36">
        <v>4758498.1392327007</v>
      </c>
      <c r="H510" s="36">
        <v>6404107.8226812007</v>
      </c>
      <c r="I510" s="30">
        <v>34.582543384452215</v>
      </c>
      <c r="J510" s="3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1.25" customHeight="1">
      <c r="A511" s="21"/>
      <c r="B511" s="35"/>
      <c r="C511" s="35"/>
      <c r="D511" s="35" t="s">
        <v>529</v>
      </c>
      <c r="E511" s="35"/>
      <c r="F511" s="35"/>
      <c r="G511" s="36">
        <v>231137769.96751559</v>
      </c>
      <c r="H511" s="36">
        <v>301193557.68646795</v>
      </c>
      <c r="I511" s="30">
        <v>30.309104275254573</v>
      </c>
      <c r="J511" s="3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1.25" customHeight="1">
      <c r="A512" s="21"/>
      <c r="B512" s="35"/>
      <c r="C512" s="35"/>
      <c r="D512" s="35" t="s">
        <v>530</v>
      </c>
      <c r="E512" s="35"/>
      <c r="F512" s="35"/>
      <c r="G512" s="36">
        <v>591191377.61034</v>
      </c>
      <c r="H512" s="36">
        <v>842400620.73377407</v>
      </c>
      <c r="I512" s="30">
        <v>42.492034328857976</v>
      </c>
      <c r="J512" s="3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1.25" customHeight="1">
      <c r="A513" s="21"/>
      <c r="B513" s="35"/>
      <c r="C513" s="35"/>
      <c r="D513" s="35"/>
      <c r="E513" s="35"/>
      <c r="F513" s="35"/>
      <c r="G513" s="36"/>
      <c r="H513" s="36"/>
      <c r="I513" s="30"/>
      <c r="J513" s="3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1.25" customHeight="1">
      <c r="A514" s="21"/>
      <c r="B514" s="35"/>
      <c r="C514" s="3" t="s">
        <v>47</v>
      </c>
      <c r="D514" s="35"/>
      <c r="E514" s="35"/>
      <c r="F514" s="35"/>
      <c r="G514" s="29">
        <v>5201929269.8316727</v>
      </c>
      <c r="H514" s="29">
        <v>2649259703.3171873</v>
      </c>
      <c r="I514" s="30">
        <v>-49.071593136003678</v>
      </c>
      <c r="J514" s="3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1.25" customHeight="1">
      <c r="A515" s="21"/>
      <c r="B515" s="35"/>
      <c r="C515" s="35"/>
      <c r="D515" s="35" t="s">
        <v>528</v>
      </c>
      <c r="E515" s="35"/>
      <c r="F515" s="35"/>
      <c r="G515" s="36">
        <v>1317873.9278716</v>
      </c>
      <c r="H515" s="36">
        <v>2059931.1166759997</v>
      </c>
      <c r="I515" s="30">
        <v>56.307145403721663</v>
      </c>
      <c r="J515" s="3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1.25" customHeight="1">
      <c r="A516" s="21"/>
      <c r="B516" s="35"/>
      <c r="C516" s="35"/>
      <c r="D516" s="35" t="s">
        <v>529</v>
      </c>
      <c r="E516" s="35"/>
      <c r="F516" s="35"/>
      <c r="G516" s="36">
        <v>0</v>
      </c>
      <c r="H516" s="36">
        <v>1785816000</v>
      </c>
      <c r="I516" s="30">
        <v>0</v>
      </c>
      <c r="J516" s="3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1.25" customHeight="1">
      <c r="A517" s="21"/>
      <c r="B517" s="35"/>
      <c r="C517" s="35"/>
      <c r="D517" s="35" t="s">
        <v>530</v>
      </c>
      <c r="E517" s="35"/>
      <c r="F517" s="35"/>
      <c r="G517" s="36">
        <v>5200567670.6876087</v>
      </c>
      <c r="H517" s="36">
        <v>258996656.83749637</v>
      </c>
      <c r="I517" s="30">
        <v>-95.019838732273385</v>
      </c>
      <c r="J517" s="3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1.25" customHeight="1">
      <c r="A518" s="21"/>
      <c r="B518" s="35"/>
      <c r="C518" s="35"/>
      <c r="D518" s="35" t="s">
        <v>531</v>
      </c>
      <c r="E518" s="35"/>
      <c r="F518" s="35"/>
      <c r="G518" s="36">
        <v>43725.216192600004</v>
      </c>
      <c r="H518" s="36">
        <v>602387115.3630147</v>
      </c>
      <c r="I518" s="30">
        <v>0</v>
      </c>
      <c r="J518" s="3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1.25" customHeight="1">
      <c r="A519" s="21"/>
      <c r="B519" s="35"/>
      <c r="C519" s="35"/>
      <c r="D519" s="35"/>
      <c r="E519" s="35"/>
      <c r="F519" s="35"/>
      <c r="G519" s="36"/>
      <c r="H519" s="36"/>
      <c r="I519" s="30"/>
      <c r="J519" s="3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1.25" customHeight="1">
      <c r="A520" s="21"/>
      <c r="B520" s="35"/>
      <c r="C520" s="3" t="s">
        <v>48</v>
      </c>
      <c r="D520" s="14"/>
      <c r="E520" s="35"/>
      <c r="F520" s="35"/>
      <c r="G520" s="29">
        <v>3879424.4195578666</v>
      </c>
      <c r="H520" s="29">
        <v>0</v>
      </c>
      <c r="I520" s="30">
        <v>-100</v>
      </c>
      <c r="J520" s="3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1.25" customHeight="1">
      <c r="A521" s="21"/>
      <c r="B521" s="35"/>
      <c r="C521" s="3"/>
      <c r="D521" s="14" t="s">
        <v>532</v>
      </c>
      <c r="E521" s="35"/>
      <c r="F521" s="35"/>
      <c r="G521" s="36">
        <v>0</v>
      </c>
      <c r="H521" s="36">
        <v>0</v>
      </c>
      <c r="I521" s="30">
        <v>0</v>
      </c>
      <c r="J521" s="3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1.25" hidden="1" customHeight="1">
      <c r="A522" s="21"/>
      <c r="B522" s="35"/>
      <c r="C522" s="35"/>
      <c r="D522" s="4" t="s">
        <v>533</v>
      </c>
      <c r="E522" s="35"/>
      <c r="F522" s="35"/>
      <c r="G522" s="36">
        <v>0</v>
      </c>
      <c r="H522" s="36">
        <v>0</v>
      </c>
      <c r="I522" s="30">
        <v>0</v>
      </c>
      <c r="J522" s="3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1.25" customHeight="1">
      <c r="A523" s="21"/>
      <c r="B523" s="35"/>
      <c r="C523" s="35"/>
      <c r="D523" s="4" t="s">
        <v>530</v>
      </c>
      <c r="E523" s="35"/>
      <c r="F523" s="35"/>
      <c r="G523" s="36">
        <v>3879424.4195578666</v>
      </c>
      <c r="H523" s="36">
        <v>0</v>
      </c>
      <c r="I523" s="30">
        <v>-100</v>
      </c>
      <c r="J523" s="3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1.25" customHeight="1">
      <c r="A524" s="21"/>
      <c r="B524" s="35"/>
      <c r="C524" s="35"/>
      <c r="D524" s="35"/>
      <c r="E524" s="35"/>
      <c r="F524" s="35"/>
      <c r="G524" s="36"/>
      <c r="H524" s="36"/>
      <c r="I524" s="47"/>
      <c r="J524" s="3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1.25" customHeight="1">
      <c r="A525" s="21"/>
      <c r="B525" s="35"/>
      <c r="C525" s="3" t="s">
        <v>49</v>
      </c>
      <c r="D525" s="14"/>
      <c r="E525" s="35"/>
      <c r="F525" s="35"/>
      <c r="G525" s="29">
        <v>681260785.47500002</v>
      </c>
      <c r="H525" s="29">
        <v>485068604</v>
      </c>
      <c r="I525" s="30">
        <v>-28.798396393564275</v>
      </c>
      <c r="J525" s="3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1.25" customHeight="1">
      <c r="A526" s="21"/>
      <c r="B526" s="35"/>
      <c r="C526" s="14"/>
      <c r="D526" s="4" t="s">
        <v>530</v>
      </c>
      <c r="E526" s="35"/>
      <c r="F526" s="35"/>
      <c r="G526" s="36">
        <v>219243903.47499999</v>
      </c>
      <c r="H526" s="36">
        <v>81590257</v>
      </c>
      <c r="I526" s="30">
        <v>-62.785621079172401</v>
      </c>
      <c r="J526" s="3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1.25" customHeight="1">
      <c r="A527" s="21"/>
      <c r="B527" s="35"/>
      <c r="C527" s="35"/>
      <c r="D527" s="4" t="s">
        <v>531</v>
      </c>
      <c r="E527" s="35"/>
      <c r="F527" s="35"/>
      <c r="G527" s="36">
        <v>462016882</v>
      </c>
      <c r="H527" s="36">
        <v>403478347</v>
      </c>
      <c r="I527" s="30">
        <v>-12.670215587490151</v>
      </c>
      <c r="J527" s="3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1.25" customHeight="1">
      <c r="A528" s="21"/>
      <c r="B528" s="35"/>
      <c r="C528" s="35"/>
      <c r="D528" s="35"/>
      <c r="E528" s="35"/>
      <c r="F528" s="35"/>
      <c r="G528" s="36"/>
      <c r="H528" s="36"/>
      <c r="I528" s="47"/>
      <c r="J528" s="3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1.25" customHeight="1">
      <c r="A529" s="21"/>
      <c r="B529" s="35"/>
      <c r="C529" s="3" t="s">
        <v>148</v>
      </c>
      <c r="D529" s="14"/>
      <c r="E529" s="35"/>
      <c r="F529" s="35"/>
      <c r="G529" s="29">
        <v>326585216.05199999</v>
      </c>
      <c r="H529" s="29">
        <v>154049629.595</v>
      </c>
      <c r="I529" s="30">
        <v>-52.830188868539693</v>
      </c>
      <c r="J529" s="3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1.25" customHeight="1">
      <c r="A530" s="21"/>
      <c r="B530" s="35"/>
      <c r="C530" s="14"/>
      <c r="D530" s="4" t="s">
        <v>533</v>
      </c>
      <c r="E530" s="35"/>
      <c r="F530" s="35"/>
      <c r="G530" s="36">
        <v>166000000</v>
      </c>
      <c r="H530" s="36">
        <v>184527655</v>
      </c>
      <c r="I530" s="30">
        <v>11.161237951807234</v>
      </c>
      <c r="J530" s="3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1.25" customHeight="1">
      <c r="A531" s="21"/>
      <c r="B531" s="35"/>
      <c r="C531" s="14"/>
      <c r="D531" s="4" t="s">
        <v>530</v>
      </c>
      <c r="E531" s="35"/>
      <c r="F531" s="35"/>
      <c r="G531" s="36">
        <v>160585216.05199999</v>
      </c>
      <c r="H531" s="36">
        <v>-30478025.405000001</v>
      </c>
      <c r="I531" s="30">
        <v>-118.97934701232444</v>
      </c>
      <c r="J531" s="3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1.25" customHeight="1">
      <c r="A532" s="21"/>
      <c r="B532" s="35"/>
      <c r="C532" s="35"/>
      <c r="D532" s="35"/>
      <c r="E532" s="35"/>
      <c r="F532" s="35"/>
      <c r="G532" s="36"/>
      <c r="H532" s="36"/>
      <c r="I532" s="47"/>
      <c r="J532" s="3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1.25" customHeight="1">
      <c r="A533" s="21"/>
      <c r="B533" s="35"/>
      <c r="C533" s="3" t="s">
        <v>51</v>
      </c>
      <c r="D533" s="14"/>
      <c r="E533" s="35"/>
      <c r="F533" s="35"/>
      <c r="G533" s="29">
        <v>1073518118</v>
      </c>
      <c r="H533" s="29">
        <v>1097050356</v>
      </c>
      <c r="I533" s="30">
        <v>2.1920671486980847</v>
      </c>
      <c r="J533" s="3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1.25" customHeight="1">
      <c r="A534" s="21"/>
      <c r="B534" s="35"/>
      <c r="C534" s="14"/>
      <c r="D534" s="4" t="s">
        <v>533</v>
      </c>
      <c r="E534" s="35"/>
      <c r="F534" s="35"/>
      <c r="G534" s="36">
        <v>93398496</v>
      </c>
      <c r="H534" s="36">
        <v>120057075</v>
      </c>
      <c r="I534" s="30">
        <v>28.542835422103586</v>
      </c>
      <c r="J534" s="3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1.25" customHeight="1">
      <c r="A535" s="21"/>
      <c r="B535" s="35"/>
      <c r="C535" s="14"/>
      <c r="D535" s="4" t="s">
        <v>530</v>
      </c>
      <c r="E535" s="35"/>
      <c r="F535" s="35"/>
      <c r="G535" s="36">
        <v>904015456</v>
      </c>
      <c r="H535" s="36">
        <v>976993281</v>
      </c>
      <c r="I535" s="30">
        <v>8.0726302316671994</v>
      </c>
      <c r="J535" s="3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1.25" customHeight="1">
      <c r="A536" s="21"/>
      <c r="B536" s="35"/>
      <c r="C536" s="14"/>
      <c r="D536" s="4" t="s">
        <v>531</v>
      </c>
      <c r="E536" s="35"/>
      <c r="F536" s="35"/>
      <c r="G536" s="36">
        <v>76104166</v>
      </c>
      <c r="H536" s="36">
        <v>0</v>
      </c>
      <c r="I536" s="30">
        <v>-100</v>
      </c>
      <c r="J536" s="3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1.25" customHeight="1">
      <c r="A537" s="21"/>
      <c r="B537" s="35"/>
      <c r="C537" s="35"/>
      <c r="D537" s="35"/>
      <c r="E537" s="35"/>
      <c r="F537" s="35"/>
      <c r="G537" s="36"/>
      <c r="H537" s="36"/>
      <c r="I537" s="47"/>
      <c r="J537" s="3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1.25" customHeight="1">
      <c r="A538" s="21"/>
      <c r="B538" s="35"/>
      <c r="C538" s="3" t="s">
        <v>53</v>
      </c>
      <c r="D538" s="14"/>
      <c r="E538" s="35"/>
      <c r="F538" s="35"/>
      <c r="G538" s="29">
        <v>0</v>
      </c>
      <c r="H538" s="29">
        <v>0</v>
      </c>
      <c r="I538" s="30">
        <v>0</v>
      </c>
      <c r="J538" s="3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1.25" customHeight="1">
      <c r="A539" s="21"/>
      <c r="B539" s="35"/>
      <c r="C539" s="14"/>
      <c r="D539" s="4" t="s">
        <v>533</v>
      </c>
      <c r="E539" s="35"/>
      <c r="F539" s="35"/>
      <c r="G539" s="36">
        <v>0</v>
      </c>
      <c r="H539" s="36">
        <v>0</v>
      </c>
      <c r="I539" s="30">
        <v>0</v>
      </c>
      <c r="J539" s="3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1.25" customHeight="1">
      <c r="A540" s="21"/>
      <c r="B540" s="35"/>
      <c r="C540" s="14"/>
      <c r="D540" s="4" t="s">
        <v>530</v>
      </c>
      <c r="E540" s="35"/>
      <c r="F540" s="35"/>
      <c r="G540" s="36">
        <v>0</v>
      </c>
      <c r="H540" s="36">
        <v>0</v>
      </c>
      <c r="I540" s="30">
        <v>0</v>
      </c>
      <c r="J540" s="3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1.25" customHeight="1">
      <c r="A541" s="21"/>
      <c r="B541" s="35"/>
      <c r="C541" s="35"/>
      <c r="D541" s="35"/>
      <c r="E541" s="35"/>
      <c r="F541" s="35"/>
      <c r="G541" s="36"/>
      <c r="H541" s="36"/>
      <c r="I541" s="47"/>
      <c r="J541" s="3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1.25" customHeight="1">
      <c r="A542" s="21"/>
      <c r="B542" s="35"/>
      <c r="C542" s="3" t="s">
        <v>54</v>
      </c>
      <c r="D542" s="14"/>
      <c r="E542" s="35"/>
      <c r="F542" s="35"/>
      <c r="G542" s="29">
        <v>86001584.044</v>
      </c>
      <c r="H542" s="29">
        <v>0</v>
      </c>
      <c r="I542" s="30">
        <v>-100</v>
      </c>
      <c r="J542" s="3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1.25" customHeight="1">
      <c r="A543" s="21"/>
      <c r="B543" s="35"/>
      <c r="C543" s="14"/>
      <c r="D543" s="4" t="s">
        <v>533</v>
      </c>
      <c r="E543" s="35"/>
      <c r="F543" s="35"/>
      <c r="G543" s="36">
        <v>85063571.772</v>
      </c>
      <c r="H543" s="36">
        <v>0</v>
      </c>
      <c r="I543" s="30">
        <v>-100</v>
      </c>
      <c r="J543" s="3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1.25" customHeight="1">
      <c r="A544" s="21"/>
      <c r="B544" s="35"/>
      <c r="C544" s="14"/>
      <c r="D544" s="4" t="s">
        <v>534</v>
      </c>
      <c r="E544" s="35"/>
      <c r="F544" s="35"/>
      <c r="G544" s="36">
        <v>938012.272</v>
      </c>
      <c r="H544" s="36">
        <v>0</v>
      </c>
      <c r="I544" s="30">
        <v>-100</v>
      </c>
      <c r="J544" s="3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1.25" customHeight="1">
      <c r="A545" s="21"/>
      <c r="B545" s="35"/>
      <c r="C545" s="35"/>
      <c r="D545" s="35"/>
      <c r="E545" s="35"/>
      <c r="F545" s="35"/>
      <c r="G545" s="36"/>
      <c r="H545" s="36"/>
      <c r="I545" s="47"/>
      <c r="J545" s="3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1.25" customHeight="1">
      <c r="A546" s="21"/>
      <c r="B546" s="35"/>
      <c r="C546" s="35"/>
      <c r="D546" s="35"/>
      <c r="E546" s="35"/>
      <c r="F546" s="35"/>
      <c r="G546" s="36"/>
      <c r="H546" s="36"/>
      <c r="I546" s="47"/>
      <c r="J546" s="3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1.25" customHeight="1">
      <c r="A547" s="26"/>
      <c r="B547" s="28"/>
      <c r="C547" s="48" t="s">
        <v>535</v>
      </c>
      <c r="D547" s="15"/>
      <c r="E547" s="15"/>
      <c r="F547" s="15"/>
      <c r="G547" s="16">
        <v>82941561707.062103</v>
      </c>
      <c r="H547" s="16">
        <v>96288342101.096252</v>
      </c>
      <c r="I547" s="17">
        <v>16.091788144975006</v>
      </c>
      <c r="J547" s="31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11.25" customHeight="1">
      <c r="A548" s="18"/>
      <c r="B548" s="32"/>
      <c r="C548" s="32"/>
      <c r="D548" s="32"/>
      <c r="E548" s="32"/>
      <c r="F548" s="32"/>
      <c r="G548" s="24"/>
      <c r="H548" s="24"/>
      <c r="I548" s="25"/>
      <c r="J548" s="49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1.25" customHeight="1">
      <c r="A549" s="18"/>
      <c r="B549" s="32"/>
      <c r="C549" s="4" t="s">
        <v>66</v>
      </c>
      <c r="D549" s="32"/>
      <c r="E549" s="32"/>
      <c r="F549" s="32"/>
      <c r="G549" s="24"/>
      <c r="H549" s="24"/>
      <c r="I549" s="25"/>
      <c r="J549" s="49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1.25" customHeight="1">
      <c r="A550" s="18"/>
      <c r="B550" s="32"/>
      <c r="C550" s="4" t="s">
        <v>67</v>
      </c>
      <c r="D550" s="32"/>
      <c r="E550" s="32"/>
      <c r="F550" s="32"/>
      <c r="G550" s="24"/>
      <c r="H550" s="24"/>
      <c r="I550" s="25"/>
      <c r="J550" s="49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1.25" customHeight="1">
      <c r="A551" s="18"/>
      <c r="B551" s="32"/>
      <c r="C551" s="32"/>
      <c r="D551" s="32"/>
      <c r="E551" s="32"/>
      <c r="F551" s="32"/>
      <c r="G551" s="24"/>
      <c r="H551" s="24"/>
      <c r="I551" s="25"/>
      <c r="J551" s="49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1.25" customHeight="1">
      <c r="A552" s="18"/>
      <c r="B552" s="32"/>
      <c r="C552" s="32"/>
      <c r="D552" s="32"/>
      <c r="E552" s="32"/>
      <c r="F552" s="32"/>
      <c r="G552" s="24"/>
      <c r="H552" s="24"/>
      <c r="I552" s="25"/>
      <c r="J552" s="49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1.25" customHeight="1">
      <c r="A553" s="18"/>
      <c r="B553" s="32"/>
      <c r="C553" s="32"/>
      <c r="D553" s="32"/>
      <c r="E553" s="32"/>
      <c r="F553" s="32"/>
      <c r="G553" s="24"/>
      <c r="H553" s="24"/>
      <c r="I553" s="25"/>
      <c r="J553" s="49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1.25" customHeight="1">
      <c r="A554" s="18"/>
      <c r="B554" s="32"/>
      <c r="C554" s="32"/>
      <c r="D554" s="32"/>
      <c r="E554" s="32"/>
      <c r="F554" s="32"/>
      <c r="G554" s="24"/>
      <c r="H554" s="24"/>
      <c r="I554" s="25"/>
      <c r="J554" s="49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1.25" customHeight="1">
      <c r="A555" s="18"/>
      <c r="B555" s="32"/>
      <c r="C555" s="32"/>
      <c r="D555" s="32"/>
      <c r="E555" s="32"/>
      <c r="F555" s="32"/>
      <c r="G555" s="24"/>
      <c r="H555" s="24"/>
      <c r="I555" s="25"/>
      <c r="J555" s="49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1.25" customHeight="1">
      <c r="A556" s="18"/>
      <c r="B556" s="32"/>
      <c r="C556" s="32"/>
      <c r="D556" s="32"/>
      <c r="E556" s="32"/>
      <c r="F556" s="32"/>
      <c r="G556" s="24"/>
      <c r="H556" s="24"/>
      <c r="I556" s="25"/>
      <c r="J556" s="49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1.25" customHeight="1">
      <c r="A557" s="18"/>
      <c r="B557" s="32"/>
      <c r="C557" s="32"/>
      <c r="D557" s="32"/>
      <c r="E557" s="32"/>
      <c r="F557" s="32"/>
      <c r="G557" s="24"/>
      <c r="H557" s="24"/>
      <c r="I557" s="24"/>
      <c r="J557" s="49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1.25" customHeight="1">
      <c r="A558" s="18"/>
      <c r="B558" s="32"/>
      <c r="C558" s="32"/>
      <c r="D558" s="32"/>
      <c r="E558" s="32"/>
      <c r="F558" s="32"/>
      <c r="G558" s="24"/>
      <c r="H558" s="24"/>
      <c r="I558" s="24"/>
      <c r="J558" s="49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1.25" customHeight="1">
      <c r="A559" s="18"/>
      <c r="B559" s="32"/>
      <c r="C559" s="32"/>
      <c r="D559" s="32"/>
      <c r="E559" s="32"/>
      <c r="F559" s="32"/>
      <c r="G559" s="24"/>
      <c r="H559" s="24"/>
      <c r="I559" s="24"/>
      <c r="J559" s="49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1.25" customHeight="1">
      <c r="A560" s="18"/>
      <c r="B560" s="32"/>
      <c r="C560" s="32"/>
      <c r="D560" s="32"/>
      <c r="E560" s="32"/>
      <c r="F560" s="32"/>
      <c r="G560" s="24"/>
      <c r="H560" s="24"/>
      <c r="I560" s="24"/>
      <c r="J560" s="49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1.25" customHeight="1">
      <c r="A561" s="18"/>
      <c r="B561" s="32"/>
      <c r="C561" s="32"/>
      <c r="D561" s="32"/>
      <c r="E561" s="32"/>
      <c r="F561" s="32"/>
      <c r="G561" s="24"/>
      <c r="H561" s="24"/>
      <c r="I561" s="24"/>
      <c r="J561" s="49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1.25" customHeight="1">
      <c r="A562" s="18"/>
      <c r="B562" s="32"/>
      <c r="C562" s="32"/>
      <c r="D562" s="32"/>
      <c r="E562" s="32"/>
      <c r="F562" s="32"/>
      <c r="G562" s="24"/>
      <c r="H562" s="24"/>
      <c r="I562" s="25"/>
      <c r="J562" s="49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1.25" customHeight="1">
      <c r="A563" s="18"/>
      <c r="B563" s="32"/>
      <c r="C563" s="32"/>
      <c r="D563" s="32"/>
      <c r="E563" s="32"/>
      <c r="F563" s="32"/>
      <c r="G563" s="24"/>
      <c r="H563" s="24"/>
      <c r="I563" s="25"/>
      <c r="J563" s="49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1.25" customHeight="1">
      <c r="A564" s="18"/>
      <c r="B564" s="32"/>
      <c r="C564" s="32"/>
      <c r="D564" s="32"/>
      <c r="E564" s="32"/>
      <c r="F564" s="32"/>
      <c r="G564" s="24"/>
      <c r="H564" s="24"/>
      <c r="I564" s="25"/>
      <c r="J564" s="49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1.25" customHeight="1">
      <c r="A565" s="18"/>
      <c r="B565" s="32"/>
      <c r="C565" s="32"/>
      <c r="D565" s="32"/>
      <c r="E565" s="32"/>
      <c r="F565" s="32"/>
      <c r="G565" s="24"/>
      <c r="H565" s="24"/>
      <c r="I565" s="25"/>
      <c r="J565" s="49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1.25" customHeight="1">
      <c r="A566" s="18"/>
      <c r="B566" s="32"/>
      <c r="C566" s="32"/>
      <c r="D566" s="32"/>
      <c r="E566" s="32"/>
      <c r="F566" s="32"/>
      <c r="G566" s="24"/>
      <c r="H566" s="24"/>
      <c r="I566" s="25"/>
      <c r="J566" s="49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1.25" customHeight="1">
      <c r="A567" s="18"/>
      <c r="B567" s="32"/>
      <c r="C567" s="32"/>
      <c r="D567" s="32"/>
      <c r="E567" s="32"/>
      <c r="F567" s="32"/>
      <c r="G567" s="24"/>
      <c r="H567" s="24"/>
      <c r="I567" s="25"/>
      <c r="J567" s="49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1.25" customHeight="1">
      <c r="A568" s="18"/>
      <c r="B568" s="32"/>
      <c r="C568" s="32"/>
      <c r="D568" s="32"/>
      <c r="E568" s="32"/>
      <c r="F568" s="32"/>
      <c r="G568" s="24"/>
      <c r="H568" s="24"/>
      <c r="I568" s="25"/>
      <c r="J568" s="49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1.25" customHeight="1">
      <c r="A569" s="18"/>
      <c r="B569" s="32"/>
      <c r="C569" s="32"/>
      <c r="D569" s="32"/>
      <c r="E569" s="32"/>
      <c r="F569" s="32"/>
      <c r="G569" s="24"/>
      <c r="H569" s="24"/>
      <c r="I569" s="25"/>
      <c r="J569" s="49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1.25" customHeight="1">
      <c r="A570" s="18"/>
      <c r="B570" s="32"/>
      <c r="C570" s="32"/>
      <c r="D570" s="32"/>
      <c r="E570" s="32"/>
      <c r="F570" s="32"/>
      <c r="G570" s="24"/>
      <c r="H570" s="24"/>
      <c r="I570" s="25"/>
      <c r="J570" s="49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1.25" customHeight="1">
      <c r="A571" s="18"/>
      <c r="B571" s="32"/>
      <c r="C571" s="32"/>
      <c r="D571" s="32"/>
      <c r="E571" s="32"/>
      <c r="F571" s="32"/>
      <c r="G571" s="24"/>
      <c r="H571" s="24"/>
      <c r="I571" s="25"/>
      <c r="J571" s="49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1.25" customHeight="1">
      <c r="A572" s="18"/>
      <c r="B572" s="32"/>
      <c r="C572" s="32"/>
      <c r="D572" s="32"/>
      <c r="E572" s="32"/>
      <c r="F572" s="32"/>
      <c r="G572" s="24"/>
      <c r="H572" s="24"/>
      <c r="I572" s="25"/>
      <c r="J572" s="49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1.25" customHeight="1">
      <c r="A573" s="18"/>
      <c r="B573" s="32"/>
      <c r="C573" s="32"/>
      <c r="D573" s="32"/>
      <c r="E573" s="32"/>
      <c r="F573" s="32"/>
      <c r="G573" s="24"/>
      <c r="H573" s="24"/>
      <c r="I573" s="25"/>
      <c r="J573" s="49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1.25" customHeight="1">
      <c r="A574" s="18"/>
      <c r="B574" s="32"/>
      <c r="C574" s="32"/>
      <c r="D574" s="32"/>
      <c r="E574" s="32"/>
      <c r="F574" s="32"/>
      <c r="G574" s="24"/>
      <c r="H574" s="24"/>
      <c r="I574" s="25"/>
      <c r="J574" s="49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1.25" customHeight="1">
      <c r="A575" s="18"/>
      <c r="B575" s="32"/>
      <c r="C575" s="32"/>
      <c r="D575" s="32"/>
      <c r="E575" s="32"/>
      <c r="F575" s="32"/>
      <c r="G575" s="24"/>
      <c r="H575" s="24"/>
      <c r="I575" s="25"/>
      <c r="J575" s="49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1.25" customHeight="1">
      <c r="A576" s="18"/>
      <c r="B576" s="32"/>
      <c r="C576" s="32"/>
      <c r="D576" s="32"/>
      <c r="E576" s="32"/>
      <c r="F576" s="32"/>
      <c r="G576" s="24"/>
      <c r="H576" s="24"/>
      <c r="I576" s="25"/>
      <c r="J576" s="49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1.25" customHeight="1">
      <c r="A577" s="18"/>
      <c r="B577" s="32"/>
      <c r="C577" s="32"/>
      <c r="D577" s="32"/>
      <c r="E577" s="32"/>
      <c r="F577" s="32"/>
      <c r="G577" s="24"/>
      <c r="H577" s="24"/>
      <c r="I577" s="25"/>
      <c r="J577" s="49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1.25" customHeight="1">
      <c r="A578" s="18"/>
      <c r="B578" s="32"/>
      <c r="C578" s="32"/>
      <c r="D578" s="32"/>
      <c r="E578" s="32"/>
      <c r="F578" s="32"/>
      <c r="G578" s="24"/>
      <c r="H578" s="24"/>
      <c r="I578" s="25"/>
      <c r="J578" s="49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1.25" customHeight="1">
      <c r="A579" s="18"/>
      <c r="B579" s="32"/>
      <c r="C579" s="32"/>
      <c r="D579" s="32"/>
      <c r="E579" s="32"/>
      <c r="F579" s="32"/>
      <c r="G579" s="24"/>
      <c r="H579" s="24"/>
      <c r="I579" s="25"/>
      <c r="J579" s="49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1.25" customHeight="1">
      <c r="A580" s="18"/>
      <c r="B580" s="32"/>
      <c r="C580" s="32"/>
      <c r="D580" s="32"/>
      <c r="E580" s="32"/>
      <c r="F580" s="32"/>
      <c r="G580" s="24"/>
      <c r="H580" s="24"/>
      <c r="I580" s="25"/>
      <c r="J580" s="49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1.25" customHeight="1">
      <c r="A581" s="18"/>
      <c r="B581" s="32"/>
      <c r="C581" s="32"/>
      <c r="D581" s="32"/>
      <c r="E581" s="32"/>
      <c r="F581" s="32"/>
      <c r="G581" s="24"/>
      <c r="H581" s="24"/>
      <c r="I581" s="25"/>
      <c r="J581" s="49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1.25" customHeight="1">
      <c r="A582" s="18"/>
      <c r="B582" s="32"/>
      <c r="C582" s="32"/>
      <c r="D582" s="32"/>
      <c r="E582" s="32"/>
      <c r="F582" s="32"/>
      <c r="G582" s="24"/>
      <c r="H582" s="24"/>
      <c r="I582" s="25"/>
      <c r="J582" s="49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1.25" customHeight="1">
      <c r="A583" s="18"/>
      <c r="B583" s="32"/>
      <c r="C583" s="32"/>
      <c r="D583" s="32"/>
      <c r="E583" s="32"/>
      <c r="F583" s="32"/>
      <c r="G583" s="24"/>
      <c r="H583" s="24"/>
      <c r="I583" s="25"/>
      <c r="J583" s="49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1.25" customHeight="1">
      <c r="A584" s="18"/>
      <c r="B584" s="32"/>
      <c r="C584" s="32"/>
      <c r="D584" s="32"/>
      <c r="E584" s="32"/>
      <c r="F584" s="32"/>
      <c r="G584" s="24"/>
      <c r="H584" s="24"/>
      <c r="I584" s="25"/>
      <c r="J584" s="49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1.25" customHeight="1">
      <c r="A585" s="18"/>
      <c r="B585" s="32"/>
      <c r="C585" s="32"/>
      <c r="D585" s="32"/>
      <c r="E585" s="32"/>
      <c r="F585" s="32"/>
      <c r="G585" s="24"/>
      <c r="H585" s="24"/>
      <c r="I585" s="25"/>
      <c r="J585" s="32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1.25" customHeight="1">
      <c r="A586" s="18"/>
      <c r="B586" s="32"/>
      <c r="C586" s="32"/>
      <c r="D586" s="32"/>
      <c r="E586" s="32"/>
      <c r="F586" s="32"/>
      <c r="G586" s="24"/>
      <c r="H586" s="24"/>
      <c r="I586" s="25"/>
      <c r="J586" s="32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1.25" customHeight="1">
      <c r="A587" s="18"/>
      <c r="B587" s="32"/>
      <c r="C587" s="32"/>
      <c r="D587" s="32"/>
      <c r="E587" s="32"/>
      <c r="F587" s="32"/>
      <c r="G587" s="24"/>
      <c r="H587" s="24"/>
      <c r="I587" s="25"/>
      <c r="J587" s="32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1.25" customHeight="1">
      <c r="A588" s="18"/>
      <c r="B588" s="32"/>
      <c r="C588" s="32"/>
      <c r="D588" s="32"/>
      <c r="E588" s="32"/>
      <c r="F588" s="32"/>
      <c r="G588" s="24"/>
      <c r="H588" s="24"/>
      <c r="I588" s="25"/>
      <c r="J588" s="32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1.25" customHeight="1">
      <c r="A589" s="18"/>
      <c r="B589" s="32"/>
      <c r="C589" s="32"/>
      <c r="D589" s="32"/>
      <c r="E589" s="32"/>
      <c r="F589" s="32"/>
      <c r="G589" s="24"/>
      <c r="H589" s="24"/>
      <c r="I589" s="25"/>
      <c r="J589" s="32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1.25" customHeight="1">
      <c r="A590" s="18"/>
      <c r="B590" s="32"/>
      <c r="C590" s="32"/>
      <c r="D590" s="32"/>
      <c r="E590" s="32"/>
      <c r="F590" s="32"/>
      <c r="G590" s="24"/>
      <c r="H590" s="24"/>
      <c r="I590" s="25"/>
      <c r="J590" s="32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1.25" customHeight="1">
      <c r="A591" s="18"/>
      <c r="B591" s="32"/>
      <c r="C591" s="32"/>
      <c r="D591" s="32"/>
      <c r="E591" s="32"/>
      <c r="F591" s="32"/>
      <c r="G591" s="24"/>
      <c r="H591" s="24"/>
      <c r="I591" s="25"/>
      <c r="J591" s="32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1.25" customHeight="1">
      <c r="A592" s="18"/>
      <c r="B592" s="32"/>
      <c r="C592" s="32"/>
      <c r="D592" s="32"/>
      <c r="E592" s="32"/>
      <c r="F592" s="32"/>
      <c r="G592" s="24"/>
      <c r="H592" s="24"/>
      <c r="I592" s="25"/>
      <c r="J592" s="32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1.25" customHeight="1">
      <c r="A593" s="18"/>
      <c r="B593" s="32"/>
      <c r="C593" s="32"/>
      <c r="D593" s="32"/>
      <c r="E593" s="32"/>
      <c r="F593" s="32"/>
      <c r="G593" s="24"/>
      <c r="H593" s="24"/>
      <c r="I593" s="25"/>
      <c r="J593" s="32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1.25" customHeight="1">
      <c r="A594" s="18"/>
      <c r="B594" s="32"/>
      <c r="C594" s="32"/>
      <c r="D594" s="32"/>
      <c r="E594" s="32"/>
      <c r="F594" s="32"/>
      <c r="G594" s="24"/>
      <c r="H594" s="24"/>
      <c r="I594" s="25"/>
      <c r="J594" s="32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1.25" customHeight="1">
      <c r="A595" s="18"/>
      <c r="B595" s="32"/>
      <c r="C595" s="32"/>
      <c r="D595" s="32"/>
      <c r="E595" s="32"/>
      <c r="F595" s="32"/>
      <c r="G595" s="24"/>
      <c r="H595" s="24"/>
      <c r="I595" s="25"/>
      <c r="J595" s="32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1.25" customHeight="1">
      <c r="A596" s="18"/>
      <c r="B596" s="32"/>
      <c r="C596" s="32"/>
      <c r="D596" s="32"/>
      <c r="E596" s="32"/>
      <c r="F596" s="32"/>
      <c r="G596" s="24"/>
      <c r="H596" s="24"/>
      <c r="I596" s="25"/>
      <c r="J596" s="32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1.25" customHeight="1">
      <c r="A597" s="18"/>
      <c r="B597" s="32"/>
      <c r="C597" s="32"/>
      <c r="D597" s="32"/>
      <c r="E597" s="32"/>
      <c r="F597" s="32"/>
      <c r="G597" s="24"/>
      <c r="H597" s="24"/>
      <c r="I597" s="25"/>
      <c r="J597" s="32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1.25" customHeight="1">
      <c r="A598" s="18"/>
      <c r="B598" s="32"/>
      <c r="C598" s="32"/>
      <c r="D598" s="32"/>
      <c r="E598" s="32"/>
      <c r="F598" s="32"/>
      <c r="G598" s="24"/>
      <c r="H598" s="24"/>
      <c r="I598" s="25"/>
      <c r="J598" s="32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1.25" customHeight="1">
      <c r="A599" s="18"/>
      <c r="B599" s="32"/>
      <c r="C599" s="32"/>
      <c r="D599" s="32"/>
      <c r="E599" s="32"/>
      <c r="F599" s="32"/>
      <c r="G599" s="24"/>
      <c r="H599" s="24"/>
      <c r="I599" s="25"/>
      <c r="J599" s="32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1.25" customHeight="1">
      <c r="A600" s="18"/>
      <c r="B600" s="32"/>
      <c r="C600" s="32"/>
      <c r="D600" s="32"/>
      <c r="E600" s="32"/>
      <c r="F600" s="32"/>
      <c r="G600" s="24"/>
      <c r="H600" s="24"/>
      <c r="I600" s="25"/>
      <c r="J600" s="32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1.25" customHeight="1">
      <c r="A601" s="18"/>
      <c r="B601" s="32"/>
      <c r="C601" s="32"/>
      <c r="D601" s="32"/>
      <c r="E601" s="32"/>
      <c r="F601" s="32"/>
      <c r="G601" s="24"/>
      <c r="H601" s="24"/>
      <c r="I601" s="25"/>
      <c r="J601" s="32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1.25" customHeight="1">
      <c r="A602" s="18"/>
      <c r="B602" s="32"/>
      <c r="C602" s="32"/>
      <c r="D602" s="32"/>
      <c r="E602" s="32"/>
      <c r="F602" s="32"/>
      <c r="G602" s="24"/>
      <c r="H602" s="24"/>
      <c r="I602" s="25"/>
      <c r="J602" s="32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1.25" customHeight="1">
      <c r="A603" s="18"/>
      <c r="B603" s="32"/>
      <c r="C603" s="32"/>
      <c r="D603" s="32"/>
      <c r="E603" s="32"/>
      <c r="F603" s="32"/>
      <c r="G603" s="24"/>
      <c r="H603" s="24"/>
      <c r="I603" s="25"/>
      <c r="J603" s="32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1.25" customHeight="1">
      <c r="A604" s="18"/>
      <c r="B604" s="32"/>
      <c r="C604" s="32"/>
      <c r="D604" s="32"/>
      <c r="E604" s="32"/>
      <c r="F604" s="32"/>
      <c r="G604" s="24"/>
      <c r="H604" s="24"/>
      <c r="I604" s="25"/>
      <c r="J604" s="32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1.25" customHeight="1">
      <c r="A605" s="18"/>
      <c r="B605" s="32"/>
      <c r="C605" s="32"/>
      <c r="D605" s="32"/>
      <c r="E605" s="32"/>
      <c r="F605" s="32"/>
      <c r="G605" s="24"/>
      <c r="H605" s="24"/>
      <c r="I605" s="25"/>
      <c r="J605" s="32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1.25" customHeight="1">
      <c r="A606" s="18"/>
      <c r="B606" s="32"/>
      <c r="C606" s="32"/>
      <c r="D606" s="32"/>
      <c r="E606" s="32"/>
      <c r="F606" s="32"/>
      <c r="G606" s="24"/>
      <c r="H606" s="24"/>
      <c r="I606" s="25"/>
      <c r="J606" s="32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1.25" customHeight="1">
      <c r="A607" s="18"/>
      <c r="B607" s="32"/>
      <c r="C607" s="32"/>
      <c r="D607" s="32"/>
      <c r="E607" s="32"/>
      <c r="F607" s="32"/>
      <c r="G607" s="24"/>
      <c r="H607" s="24"/>
      <c r="I607" s="25"/>
      <c r="J607" s="32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1.25" customHeight="1">
      <c r="A608" s="18"/>
      <c r="B608" s="32"/>
      <c r="C608" s="32"/>
      <c r="D608" s="32"/>
      <c r="E608" s="32"/>
      <c r="F608" s="32"/>
      <c r="G608" s="24"/>
      <c r="H608" s="24"/>
      <c r="I608" s="25"/>
      <c r="J608" s="32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1.25" customHeight="1">
      <c r="A609" s="18"/>
      <c r="B609" s="32"/>
      <c r="C609" s="32"/>
      <c r="D609" s="32"/>
      <c r="E609" s="32"/>
      <c r="F609" s="32"/>
      <c r="G609" s="24"/>
      <c r="H609" s="24"/>
      <c r="I609" s="25"/>
      <c r="J609" s="32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1.25" customHeight="1">
      <c r="A610" s="18"/>
      <c r="B610" s="32"/>
      <c r="C610" s="32"/>
      <c r="D610" s="32"/>
      <c r="E610" s="32"/>
      <c r="F610" s="32"/>
      <c r="G610" s="24"/>
      <c r="H610" s="24"/>
      <c r="I610" s="25"/>
      <c r="J610" s="32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1.25" customHeight="1">
      <c r="A611" s="18"/>
      <c r="B611" s="18"/>
      <c r="C611" s="18"/>
      <c r="D611" s="18"/>
      <c r="E611" s="18"/>
      <c r="F611" s="18"/>
      <c r="G611" s="24"/>
      <c r="H611" s="24"/>
      <c r="I611" s="25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1.25" customHeight="1">
      <c r="A612" s="18"/>
      <c r="B612" s="18"/>
      <c r="C612" s="18"/>
      <c r="D612" s="18"/>
      <c r="E612" s="18"/>
      <c r="F612" s="18"/>
      <c r="G612" s="24"/>
      <c r="H612" s="24"/>
      <c r="I612" s="25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1.25" customHeight="1">
      <c r="A613" s="18"/>
      <c r="B613" s="18"/>
      <c r="C613" s="18"/>
      <c r="D613" s="18"/>
      <c r="E613" s="18"/>
      <c r="F613" s="18"/>
      <c r="G613" s="24"/>
      <c r="H613" s="24"/>
      <c r="I613" s="25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1.25" customHeight="1">
      <c r="A614" s="18"/>
      <c r="B614" s="18"/>
      <c r="C614" s="18"/>
      <c r="D614" s="18"/>
      <c r="E614" s="18"/>
      <c r="F614" s="18"/>
      <c r="G614" s="24"/>
      <c r="H614" s="24"/>
      <c r="I614" s="25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1.25" customHeight="1">
      <c r="A615" s="18"/>
      <c r="B615" s="18"/>
      <c r="C615" s="18"/>
      <c r="D615" s="18"/>
      <c r="E615" s="18"/>
      <c r="F615" s="18"/>
      <c r="G615" s="24"/>
      <c r="H615" s="24"/>
      <c r="I615" s="25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1.25" customHeight="1">
      <c r="A616" s="18"/>
      <c r="B616" s="18"/>
      <c r="C616" s="18"/>
      <c r="D616" s="18"/>
      <c r="E616" s="18"/>
      <c r="F616" s="18"/>
      <c r="G616" s="24"/>
      <c r="H616" s="24"/>
      <c r="I616" s="25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1.25" customHeight="1">
      <c r="A617" s="18"/>
      <c r="B617" s="18"/>
      <c r="C617" s="18"/>
      <c r="D617" s="18"/>
      <c r="E617" s="18"/>
      <c r="F617" s="18"/>
      <c r="G617" s="24"/>
      <c r="H617" s="24"/>
      <c r="I617" s="25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1.25" customHeight="1">
      <c r="A618" s="18"/>
      <c r="B618" s="18"/>
      <c r="C618" s="18"/>
      <c r="D618" s="18"/>
      <c r="E618" s="18"/>
      <c r="F618" s="18"/>
      <c r="G618" s="24"/>
      <c r="H618" s="24"/>
      <c r="I618" s="25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1.25" customHeight="1">
      <c r="A619" s="18"/>
      <c r="B619" s="18"/>
      <c r="C619" s="18"/>
      <c r="D619" s="18"/>
      <c r="E619" s="18"/>
      <c r="F619" s="18"/>
      <c r="G619" s="24"/>
      <c r="H619" s="24"/>
      <c r="I619" s="25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1.25" customHeight="1">
      <c r="A620" s="18"/>
      <c r="B620" s="18"/>
      <c r="C620" s="18"/>
      <c r="D620" s="18"/>
      <c r="E620" s="18"/>
      <c r="F620" s="18"/>
      <c r="G620" s="24"/>
      <c r="H620" s="24"/>
      <c r="I620" s="25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1.25" customHeight="1">
      <c r="A621" s="18"/>
      <c r="B621" s="18"/>
      <c r="C621" s="18"/>
      <c r="D621" s="18"/>
      <c r="E621" s="18"/>
      <c r="F621" s="18"/>
      <c r="G621" s="24"/>
      <c r="H621" s="24"/>
      <c r="I621" s="25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1.25" customHeight="1">
      <c r="A622" s="18"/>
      <c r="B622" s="18"/>
      <c r="C622" s="18"/>
      <c r="D622" s="18"/>
      <c r="E622" s="18"/>
      <c r="F622" s="18"/>
      <c r="G622" s="24"/>
      <c r="H622" s="24"/>
      <c r="I622" s="25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1.25" customHeight="1">
      <c r="A623" s="18"/>
      <c r="B623" s="18"/>
      <c r="C623" s="18"/>
      <c r="D623" s="18"/>
      <c r="E623" s="18"/>
      <c r="F623" s="18"/>
      <c r="G623" s="24"/>
      <c r="H623" s="24"/>
      <c r="I623" s="25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1.25" customHeight="1">
      <c r="A624" s="18"/>
      <c r="B624" s="18"/>
      <c r="C624" s="18"/>
      <c r="D624" s="18"/>
      <c r="E624" s="18"/>
      <c r="F624" s="18"/>
      <c r="G624" s="24"/>
      <c r="H624" s="24"/>
      <c r="I624" s="25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1.25" customHeight="1">
      <c r="A625" s="18"/>
      <c r="B625" s="18"/>
      <c r="C625" s="18"/>
      <c r="D625" s="18"/>
      <c r="E625" s="18"/>
      <c r="F625" s="18"/>
      <c r="G625" s="24"/>
      <c r="H625" s="24"/>
      <c r="I625" s="25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1.25" customHeight="1">
      <c r="A626" s="18"/>
      <c r="B626" s="18"/>
      <c r="C626" s="18"/>
      <c r="D626" s="18"/>
      <c r="E626" s="18"/>
      <c r="F626" s="18"/>
      <c r="G626" s="24"/>
      <c r="H626" s="24"/>
      <c r="I626" s="25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1.25" customHeight="1">
      <c r="A627" s="18"/>
      <c r="B627" s="18"/>
      <c r="C627" s="18"/>
      <c r="D627" s="18"/>
      <c r="E627" s="18"/>
      <c r="F627" s="18"/>
      <c r="G627" s="24"/>
      <c r="H627" s="24"/>
      <c r="I627" s="25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1.25" customHeight="1">
      <c r="A628" s="18"/>
      <c r="B628" s="18"/>
      <c r="C628" s="18"/>
      <c r="D628" s="18"/>
      <c r="E628" s="18"/>
      <c r="F628" s="18"/>
      <c r="G628" s="24"/>
      <c r="H628" s="24"/>
      <c r="I628" s="25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1.25" customHeight="1">
      <c r="A629" s="18"/>
      <c r="B629" s="18"/>
      <c r="C629" s="18"/>
      <c r="D629" s="18"/>
      <c r="E629" s="18"/>
      <c r="F629" s="18"/>
      <c r="G629" s="24"/>
      <c r="H629" s="24"/>
      <c r="I629" s="25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1.25" customHeight="1">
      <c r="A630" s="18"/>
      <c r="B630" s="18"/>
      <c r="C630" s="18"/>
      <c r="D630" s="18"/>
      <c r="E630" s="18"/>
      <c r="F630" s="18"/>
      <c r="G630" s="24"/>
      <c r="H630" s="24"/>
      <c r="I630" s="25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1.25" customHeight="1">
      <c r="A631" s="18"/>
      <c r="B631" s="18"/>
      <c r="C631" s="18"/>
      <c r="D631" s="18"/>
      <c r="E631" s="18"/>
      <c r="F631" s="18"/>
      <c r="G631" s="24"/>
      <c r="H631" s="24"/>
      <c r="I631" s="25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1.25" customHeight="1">
      <c r="A632" s="18"/>
      <c r="B632" s="18"/>
      <c r="C632" s="18"/>
      <c r="D632" s="18"/>
      <c r="E632" s="18"/>
      <c r="F632" s="18"/>
      <c r="G632" s="24"/>
      <c r="H632" s="24"/>
      <c r="I632" s="25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1.25" customHeight="1">
      <c r="A633" s="18"/>
      <c r="B633" s="18"/>
      <c r="C633" s="18"/>
      <c r="D633" s="18"/>
      <c r="E633" s="18"/>
      <c r="F633" s="18"/>
      <c r="G633" s="24"/>
      <c r="H633" s="24"/>
      <c r="I633" s="25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1.25" customHeight="1">
      <c r="A634" s="18"/>
      <c r="B634" s="18"/>
      <c r="C634" s="18"/>
      <c r="D634" s="18"/>
      <c r="E634" s="18"/>
      <c r="F634" s="18"/>
      <c r="G634" s="24"/>
      <c r="H634" s="24"/>
      <c r="I634" s="25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1.25" customHeight="1">
      <c r="A635" s="18"/>
      <c r="B635" s="18"/>
      <c r="C635" s="18"/>
      <c r="D635" s="18"/>
      <c r="E635" s="18"/>
      <c r="F635" s="18"/>
      <c r="G635" s="24"/>
      <c r="H635" s="24"/>
      <c r="I635" s="25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1.25" customHeight="1">
      <c r="A636" s="18"/>
      <c r="B636" s="18"/>
      <c r="C636" s="18"/>
      <c r="D636" s="18"/>
      <c r="E636" s="18"/>
      <c r="F636" s="18"/>
      <c r="G636" s="24"/>
      <c r="H636" s="24"/>
      <c r="I636" s="25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1.25" customHeight="1">
      <c r="A637" s="18"/>
      <c r="B637" s="18"/>
      <c r="C637" s="18"/>
      <c r="D637" s="18"/>
      <c r="E637" s="18"/>
      <c r="F637" s="18"/>
      <c r="G637" s="24"/>
      <c r="H637" s="24"/>
      <c r="I637" s="25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1.25" customHeight="1">
      <c r="A638" s="18"/>
      <c r="B638" s="18"/>
      <c r="C638" s="18"/>
      <c r="D638" s="18"/>
      <c r="E638" s="18"/>
      <c r="F638" s="18"/>
      <c r="G638" s="24"/>
      <c r="H638" s="24"/>
      <c r="I638" s="25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1.25" customHeight="1">
      <c r="A639" s="18"/>
      <c r="B639" s="18"/>
      <c r="C639" s="18"/>
      <c r="D639" s="18"/>
      <c r="E639" s="18"/>
      <c r="F639" s="18"/>
      <c r="G639" s="24"/>
      <c r="H639" s="24"/>
      <c r="I639" s="25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1.25" customHeight="1">
      <c r="A640" s="18"/>
      <c r="B640" s="18"/>
      <c r="C640" s="18"/>
      <c r="D640" s="18"/>
      <c r="E640" s="18"/>
      <c r="F640" s="18"/>
      <c r="G640" s="24"/>
      <c r="H640" s="24"/>
      <c r="I640" s="25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1.25" customHeight="1">
      <c r="A641" s="18"/>
      <c r="B641" s="18"/>
      <c r="C641" s="18"/>
      <c r="D641" s="18"/>
      <c r="E641" s="18"/>
      <c r="F641" s="18"/>
      <c r="G641" s="24"/>
      <c r="H641" s="24"/>
      <c r="I641" s="25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1.25" customHeight="1">
      <c r="A642" s="18"/>
      <c r="B642" s="18"/>
      <c r="C642" s="18"/>
      <c r="D642" s="18"/>
      <c r="E642" s="18"/>
      <c r="F642" s="18"/>
      <c r="G642" s="24"/>
      <c r="H642" s="24"/>
      <c r="I642" s="25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1.25" customHeight="1">
      <c r="A643" s="18"/>
      <c r="B643" s="18"/>
      <c r="C643" s="18"/>
      <c r="D643" s="18"/>
      <c r="E643" s="18"/>
      <c r="F643" s="18"/>
      <c r="G643" s="24"/>
      <c r="H643" s="24"/>
      <c r="I643" s="25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1.25" customHeight="1">
      <c r="A644" s="18"/>
      <c r="B644" s="18"/>
      <c r="C644" s="18"/>
      <c r="D644" s="18"/>
      <c r="E644" s="18"/>
      <c r="F644" s="18"/>
      <c r="G644" s="24"/>
      <c r="H644" s="24"/>
      <c r="I644" s="25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1.25" customHeight="1">
      <c r="A645" s="18"/>
      <c r="B645" s="18"/>
      <c r="C645" s="18"/>
      <c r="D645" s="18"/>
      <c r="E645" s="18"/>
      <c r="F645" s="18"/>
      <c r="G645" s="24"/>
      <c r="H645" s="24"/>
      <c r="I645" s="25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1.25" customHeight="1">
      <c r="A646" s="18"/>
      <c r="B646" s="18"/>
      <c r="C646" s="18"/>
      <c r="D646" s="18"/>
      <c r="E646" s="18"/>
      <c r="F646" s="18"/>
      <c r="G646" s="24"/>
      <c r="H646" s="24"/>
      <c r="I646" s="25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1.25" customHeight="1">
      <c r="A647" s="18"/>
      <c r="B647" s="18"/>
      <c r="C647" s="18"/>
      <c r="D647" s="18"/>
      <c r="E647" s="18"/>
      <c r="F647" s="18"/>
      <c r="G647" s="24"/>
      <c r="H647" s="24"/>
      <c r="I647" s="25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1.25" customHeight="1">
      <c r="A648" s="18"/>
      <c r="B648" s="18"/>
      <c r="C648" s="18"/>
      <c r="D648" s="18"/>
      <c r="E648" s="18"/>
      <c r="F648" s="18"/>
      <c r="G648" s="24"/>
      <c r="H648" s="24"/>
      <c r="I648" s="25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1.25" customHeight="1">
      <c r="A649" s="18"/>
      <c r="B649" s="18"/>
      <c r="C649" s="18"/>
      <c r="D649" s="18"/>
      <c r="E649" s="18"/>
      <c r="F649" s="18"/>
      <c r="G649" s="24"/>
      <c r="H649" s="24"/>
      <c r="I649" s="25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1.25" customHeight="1">
      <c r="A650" s="18"/>
      <c r="B650" s="18"/>
      <c r="C650" s="18"/>
      <c r="D650" s="18"/>
      <c r="E650" s="18"/>
      <c r="F650" s="18"/>
      <c r="G650" s="24"/>
      <c r="H650" s="24"/>
      <c r="I650" s="25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1.25" customHeight="1">
      <c r="A651" s="18"/>
      <c r="B651" s="18"/>
      <c r="C651" s="18"/>
      <c r="D651" s="18"/>
      <c r="E651" s="18"/>
      <c r="F651" s="18"/>
      <c r="G651" s="24"/>
      <c r="H651" s="24"/>
      <c r="I651" s="25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1.25" customHeight="1">
      <c r="A652" s="18"/>
      <c r="B652" s="18"/>
      <c r="C652" s="18"/>
      <c r="D652" s="18"/>
      <c r="E652" s="18"/>
      <c r="F652" s="18"/>
      <c r="G652" s="24"/>
      <c r="H652" s="24"/>
      <c r="I652" s="25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1.25" customHeight="1">
      <c r="A653" s="18"/>
      <c r="B653" s="18"/>
      <c r="C653" s="18"/>
      <c r="D653" s="18"/>
      <c r="E653" s="18"/>
      <c r="F653" s="18"/>
      <c r="G653" s="24"/>
      <c r="H653" s="24"/>
      <c r="I653" s="25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1.25" customHeight="1">
      <c r="A654" s="18"/>
      <c r="B654" s="18"/>
      <c r="C654" s="18"/>
      <c r="D654" s="18"/>
      <c r="E654" s="18"/>
      <c r="F654" s="18"/>
      <c r="G654" s="24"/>
      <c r="H654" s="24"/>
      <c r="I654" s="25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1.25" customHeight="1">
      <c r="A655" s="18"/>
      <c r="B655" s="18"/>
      <c r="C655" s="18"/>
      <c r="D655" s="18"/>
      <c r="E655" s="18"/>
      <c r="F655" s="18"/>
      <c r="G655" s="24"/>
      <c r="H655" s="24"/>
      <c r="I655" s="25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1.25" customHeight="1">
      <c r="A656" s="18"/>
      <c r="B656" s="18"/>
      <c r="C656" s="18"/>
      <c r="D656" s="18"/>
      <c r="E656" s="18"/>
      <c r="F656" s="18"/>
      <c r="G656" s="24"/>
      <c r="H656" s="24"/>
      <c r="I656" s="25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1.25" customHeight="1">
      <c r="A657" s="18"/>
      <c r="B657" s="18"/>
      <c r="C657" s="18"/>
      <c r="D657" s="18"/>
      <c r="E657" s="18"/>
      <c r="F657" s="18"/>
      <c r="G657" s="24"/>
      <c r="H657" s="24"/>
      <c r="I657" s="25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1.25" customHeight="1">
      <c r="A658" s="18"/>
      <c r="B658" s="18"/>
      <c r="C658" s="18"/>
      <c r="D658" s="18"/>
      <c r="E658" s="18"/>
      <c r="F658" s="18"/>
      <c r="G658" s="24"/>
      <c r="H658" s="24"/>
      <c r="I658" s="25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1.25" customHeight="1">
      <c r="A659" s="18"/>
      <c r="B659" s="18"/>
      <c r="C659" s="18"/>
      <c r="D659" s="18"/>
      <c r="E659" s="18"/>
      <c r="F659" s="18"/>
      <c r="G659" s="24"/>
      <c r="H659" s="24"/>
      <c r="I659" s="25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1.25" customHeight="1">
      <c r="A660" s="18"/>
      <c r="B660" s="18"/>
      <c r="C660" s="18"/>
      <c r="D660" s="18"/>
      <c r="E660" s="18"/>
      <c r="F660" s="18"/>
      <c r="G660" s="24"/>
      <c r="H660" s="24"/>
      <c r="I660" s="25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1.25" customHeight="1">
      <c r="A661" s="18"/>
      <c r="B661" s="18"/>
      <c r="C661" s="18"/>
      <c r="D661" s="18"/>
      <c r="E661" s="18"/>
      <c r="F661" s="18"/>
      <c r="G661" s="24"/>
      <c r="H661" s="24"/>
      <c r="I661" s="25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1.25" customHeight="1">
      <c r="A662" s="18"/>
      <c r="B662" s="18"/>
      <c r="C662" s="18"/>
      <c r="D662" s="18"/>
      <c r="E662" s="18"/>
      <c r="F662" s="18"/>
      <c r="G662" s="24"/>
      <c r="H662" s="24"/>
      <c r="I662" s="25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1.25" customHeight="1">
      <c r="A663" s="18"/>
      <c r="B663" s="18"/>
      <c r="C663" s="18"/>
      <c r="D663" s="18"/>
      <c r="E663" s="18"/>
      <c r="F663" s="18"/>
      <c r="G663" s="24"/>
      <c r="H663" s="24"/>
      <c r="I663" s="25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1.25" customHeight="1">
      <c r="A664" s="18"/>
      <c r="B664" s="18"/>
      <c r="C664" s="18"/>
      <c r="D664" s="18"/>
      <c r="E664" s="18"/>
      <c r="F664" s="18"/>
      <c r="G664" s="24"/>
      <c r="H664" s="24"/>
      <c r="I664" s="25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1.25" customHeight="1">
      <c r="A665" s="18"/>
      <c r="B665" s="18"/>
      <c r="C665" s="18"/>
      <c r="D665" s="18"/>
      <c r="E665" s="18"/>
      <c r="F665" s="18"/>
      <c r="G665" s="24"/>
      <c r="H665" s="24"/>
      <c r="I665" s="25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1.25" customHeight="1">
      <c r="A666" s="18"/>
      <c r="B666" s="18"/>
      <c r="C666" s="18"/>
      <c r="D666" s="18"/>
      <c r="E666" s="18"/>
      <c r="F666" s="18"/>
      <c r="G666" s="24"/>
      <c r="H666" s="24"/>
      <c r="I666" s="25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1.25" customHeight="1">
      <c r="A667" s="18"/>
      <c r="B667" s="18"/>
      <c r="C667" s="18"/>
      <c r="D667" s="18"/>
      <c r="E667" s="18"/>
      <c r="F667" s="18"/>
      <c r="G667" s="24"/>
      <c r="H667" s="24"/>
      <c r="I667" s="25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1.25" customHeight="1">
      <c r="A668" s="18"/>
      <c r="B668" s="18"/>
      <c r="C668" s="18"/>
      <c r="D668" s="18"/>
      <c r="E668" s="18"/>
      <c r="F668" s="18"/>
      <c r="G668" s="24"/>
      <c r="H668" s="24"/>
      <c r="I668" s="25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1.25" customHeight="1">
      <c r="A669" s="18"/>
      <c r="B669" s="18"/>
      <c r="C669" s="18"/>
      <c r="D669" s="18"/>
      <c r="E669" s="18"/>
      <c r="F669" s="18"/>
      <c r="G669" s="24"/>
      <c r="H669" s="24"/>
      <c r="I669" s="25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1.25" customHeight="1">
      <c r="A670" s="18"/>
      <c r="B670" s="18"/>
      <c r="C670" s="18"/>
      <c r="D670" s="18"/>
      <c r="E670" s="18"/>
      <c r="F670" s="18"/>
      <c r="G670" s="24"/>
      <c r="H670" s="24"/>
      <c r="I670" s="25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1.25" customHeight="1">
      <c r="A671" s="18"/>
      <c r="B671" s="18"/>
      <c r="C671" s="18"/>
      <c r="D671" s="18"/>
      <c r="E671" s="18"/>
      <c r="F671" s="18"/>
      <c r="G671" s="24"/>
      <c r="H671" s="24"/>
      <c r="I671" s="25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1.25" customHeight="1">
      <c r="A672" s="18"/>
      <c r="B672" s="18"/>
      <c r="C672" s="18"/>
      <c r="D672" s="18"/>
      <c r="E672" s="18"/>
      <c r="F672" s="18"/>
      <c r="G672" s="24"/>
      <c r="H672" s="24"/>
      <c r="I672" s="25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1.25" customHeight="1">
      <c r="A673" s="18"/>
      <c r="B673" s="18"/>
      <c r="C673" s="18"/>
      <c r="D673" s="18"/>
      <c r="E673" s="18"/>
      <c r="F673" s="18"/>
      <c r="G673" s="24"/>
      <c r="H673" s="24"/>
      <c r="I673" s="25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1.25" customHeight="1">
      <c r="A674" s="18"/>
      <c r="B674" s="18"/>
      <c r="C674" s="18"/>
      <c r="D674" s="18"/>
      <c r="E674" s="18"/>
      <c r="F674" s="18"/>
      <c r="G674" s="24"/>
      <c r="H674" s="24"/>
      <c r="I674" s="25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1.25" customHeight="1">
      <c r="A675" s="18"/>
      <c r="B675" s="18"/>
      <c r="C675" s="18"/>
      <c r="D675" s="18"/>
      <c r="E675" s="18"/>
      <c r="F675" s="18"/>
      <c r="G675" s="24"/>
      <c r="H675" s="24"/>
      <c r="I675" s="25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1.25" customHeight="1">
      <c r="A676" s="18"/>
      <c r="B676" s="18"/>
      <c r="C676" s="18"/>
      <c r="D676" s="18"/>
      <c r="E676" s="18"/>
      <c r="F676" s="18"/>
      <c r="G676" s="24"/>
      <c r="H676" s="24"/>
      <c r="I676" s="25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1.25" customHeight="1">
      <c r="A677" s="18"/>
      <c r="B677" s="18"/>
      <c r="C677" s="18"/>
      <c r="D677" s="18"/>
      <c r="E677" s="18"/>
      <c r="F677" s="18"/>
      <c r="G677" s="24"/>
      <c r="H677" s="24"/>
      <c r="I677" s="25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1.25" customHeight="1">
      <c r="A678" s="18"/>
      <c r="B678" s="18"/>
      <c r="C678" s="18"/>
      <c r="D678" s="18"/>
      <c r="E678" s="18"/>
      <c r="F678" s="18"/>
      <c r="G678" s="24"/>
      <c r="H678" s="24"/>
      <c r="I678" s="25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1.25" customHeight="1">
      <c r="A679" s="18"/>
      <c r="B679" s="18"/>
      <c r="C679" s="18"/>
      <c r="D679" s="18"/>
      <c r="E679" s="18"/>
      <c r="F679" s="18"/>
      <c r="G679" s="24"/>
      <c r="H679" s="24"/>
      <c r="I679" s="25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1.25" customHeight="1">
      <c r="A680" s="18"/>
      <c r="B680" s="18"/>
      <c r="C680" s="18"/>
      <c r="D680" s="18"/>
      <c r="E680" s="18"/>
      <c r="F680" s="18"/>
      <c r="G680" s="24"/>
      <c r="H680" s="24"/>
      <c r="I680" s="25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1.25" customHeight="1">
      <c r="A681" s="18"/>
      <c r="B681" s="18"/>
      <c r="C681" s="18"/>
      <c r="D681" s="18"/>
      <c r="E681" s="18"/>
      <c r="F681" s="18"/>
      <c r="G681" s="24"/>
      <c r="H681" s="24"/>
      <c r="I681" s="25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1.25" customHeight="1">
      <c r="A682" s="18"/>
      <c r="B682" s="18"/>
      <c r="C682" s="18"/>
      <c r="D682" s="18"/>
      <c r="E682" s="18"/>
      <c r="F682" s="18"/>
      <c r="G682" s="24"/>
      <c r="H682" s="24"/>
      <c r="I682" s="25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1.25" customHeight="1">
      <c r="A683" s="18"/>
      <c r="B683" s="18"/>
      <c r="C683" s="18"/>
      <c r="D683" s="18"/>
      <c r="E683" s="18"/>
      <c r="F683" s="18"/>
      <c r="G683" s="24"/>
      <c r="H683" s="24"/>
      <c r="I683" s="25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1.25" customHeight="1">
      <c r="A684" s="18"/>
      <c r="B684" s="18"/>
      <c r="C684" s="18"/>
      <c r="D684" s="18"/>
      <c r="E684" s="18"/>
      <c r="F684" s="18"/>
      <c r="G684" s="24"/>
      <c r="H684" s="24"/>
      <c r="I684" s="25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1.25" customHeight="1">
      <c r="A685" s="18"/>
      <c r="B685" s="18"/>
      <c r="C685" s="18"/>
      <c r="D685" s="18"/>
      <c r="E685" s="18"/>
      <c r="F685" s="18"/>
      <c r="G685" s="24"/>
      <c r="H685" s="24"/>
      <c r="I685" s="25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1.25" customHeight="1">
      <c r="A686" s="18"/>
      <c r="B686" s="18"/>
      <c r="C686" s="18"/>
      <c r="D686" s="18"/>
      <c r="E686" s="18"/>
      <c r="F686" s="18"/>
      <c r="G686" s="24"/>
      <c r="H686" s="24"/>
      <c r="I686" s="25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1.25" customHeight="1">
      <c r="A687" s="18"/>
      <c r="B687" s="18"/>
      <c r="C687" s="18"/>
      <c r="D687" s="18"/>
      <c r="E687" s="18"/>
      <c r="F687" s="18"/>
      <c r="G687" s="24"/>
      <c r="H687" s="24"/>
      <c r="I687" s="25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1.25" customHeight="1">
      <c r="A688" s="18"/>
      <c r="B688" s="18"/>
      <c r="C688" s="18"/>
      <c r="D688" s="18"/>
      <c r="E688" s="18"/>
      <c r="F688" s="18"/>
      <c r="G688" s="24"/>
      <c r="H688" s="24"/>
      <c r="I688" s="25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1.25" customHeight="1">
      <c r="A689" s="18"/>
      <c r="B689" s="18"/>
      <c r="C689" s="18"/>
      <c r="D689" s="18"/>
      <c r="E689" s="18"/>
      <c r="F689" s="18"/>
      <c r="G689" s="24"/>
      <c r="H689" s="24"/>
      <c r="I689" s="25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1.25" customHeight="1">
      <c r="A690" s="18"/>
      <c r="B690" s="18"/>
      <c r="C690" s="18"/>
      <c r="D690" s="18"/>
      <c r="E690" s="18"/>
      <c r="F690" s="18"/>
      <c r="G690" s="24"/>
      <c r="H690" s="24"/>
      <c r="I690" s="25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1.25" customHeight="1">
      <c r="A691" s="18"/>
      <c r="B691" s="18"/>
      <c r="C691" s="18"/>
      <c r="D691" s="18"/>
      <c r="E691" s="18"/>
      <c r="F691" s="18"/>
      <c r="G691" s="24"/>
      <c r="H691" s="24"/>
      <c r="I691" s="25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1.25" customHeight="1">
      <c r="A692" s="18"/>
      <c r="B692" s="18"/>
      <c r="C692" s="18"/>
      <c r="D692" s="18"/>
      <c r="E692" s="18"/>
      <c r="F692" s="18"/>
      <c r="G692" s="24"/>
      <c r="H692" s="24"/>
      <c r="I692" s="25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1.25" customHeight="1">
      <c r="A693" s="18"/>
      <c r="B693" s="18"/>
      <c r="C693" s="18"/>
      <c r="D693" s="18"/>
      <c r="E693" s="18"/>
      <c r="F693" s="18"/>
      <c r="G693" s="24"/>
      <c r="H693" s="24"/>
      <c r="I693" s="25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1.25" customHeight="1">
      <c r="A694" s="18"/>
      <c r="B694" s="18"/>
      <c r="C694" s="18"/>
      <c r="D694" s="18"/>
      <c r="E694" s="18"/>
      <c r="F694" s="18"/>
      <c r="G694" s="24"/>
      <c r="H694" s="24"/>
      <c r="I694" s="25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1.25" customHeight="1">
      <c r="A695" s="18"/>
      <c r="B695" s="18"/>
      <c r="C695" s="18"/>
      <c r="D695" s="18"/>
      <c r="E695" s="18"/>
      <c r="F695" s="18"/>
      <c r="G695" s="24"/>
      <c r="H695" s="24"/>
      <c r="I695" s="25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1.25" customHeight="1">
      <c r="A696" s="18"/>
      <c r="B696" s="18"/>
      <c r="C696" s="18"/>
      <c r="D696" s="18"/>
      <c r="E696" s="18"/>
      <c r="F696" s="18"/>
      <c r="G696" s="24"/>
      <c r="H696" s="24"/>
      <c r="I696" s="25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1.25" customHeight="1">
      <c r="A697" s="18"/>
      <c r="B697" s="18"/>
      <c r="C697" s="18"/>
      <c r="D697" s="18"/>
      <c r="E697" s="18"/>
      <c r="F697" s="18"/>
      <c r="G697" s="24"/>
      <c r="H697" s="24"/>
      <c r="I697" s="25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1.25" customHeight="1">
      <c r="A698" s="18"/>
      <c r="B698" s="18"/>
      <c r="C698" s="18"/>
      <c r="D698" s="18"/>
      <c r="E698" s="18"/>
      <c r="F698" s="18"/>
      <c r="G698" s="24"/>
      <c r="H698" s="24"/>
      <c r="I698" s="25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1.25" customHeight="1">
      <c r="A699" s="18"/>
      <c r="B699" s="18"/>
      <c r="C699" s="18"/>
      <c r="D699" s="18"/>
      <c r="E699" s="18"/>
      <c r="F699" s="18"/>
      <c r="G699" s="24"/>
      <c r="H699" s="24"/>
      <c r="I699" s="25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1.25" customHeight="1">
      <c r="A700" s="18"/>
      <c r="B700" s="18"/>
      <c r="C700" s="18"/>
      <c r="D700" s="18"/>
      <c r="E700" s="18"/>
      <c r="F700" s="18"/>
      <c r="G700" s="24"/>
      <c r="H700" s="24"/>
      <c r="I700" s="25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1.25" customHeight="1">
      <c r="A701" s="18"/>
      <c r="B701" s="18"/>
      <c r="C701" s="18"/>
      <c r="D701" s="18"/>
      <c r="E701" s="18"/>
      <c r="F701" s="18"/>
      <c r="G701" s="24"/>
      <c r="H701" s="24"/>
      <c r="I701" s="25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1.25" customHeight="1">
      <c r="A702" s="18"/>
      <c r="B702" s="18"/>
      <c r="C702" s="18"/>
      <c r="D702" s="18"/>
      <c r="E702" s="18"/>
      <c r="F702" s="18"/>
      <c r="G702" s="24"/>
      <c r="H702" s="24"/>
      <c r="I702" s="25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1.25" customHeight="1">
      <c r="A703" s="18"/>
      <c r="B703" s="18"/>
      <c r="C703" s="18"/>
      <c r="D703" s="18"/>
      <c r="E703" s="18"/>
      <c r="F703" s="18"/>
      <c r="G703" s="24"/>
      <c r="H703" s="24"/>
      <c r="I703" s="25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1.25" customHeight="1">
      <c r="A704" s="18"/>
      <c r="B704" s="18"/>
      <c r="C704" s="18"/>
      <c r="D704" s="18"/>
      <c r="E704" s="18"/>
      <c r="F704" s="18"/>
      <c r="G704" s="24"/>
      <c r="H704" s="24"/>
      <c r="I704" s="25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1.25" customHeight="1">
      <c r="A705" s="18"/>
      <c r="B705" s="18"/>
      <c r="C705" s="18"/>
      <c r="D705" s="18"/>
      <c r="E705" s="18"/>
      <c r="F705" s="18"/>
      <c r="G705" s="24"/>
      <c r="H705" s="24"/>
      <c r="I705" s="25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1.25" customHeight="1">
      <c r="A706" s="18"/>
      <c r="B706" s="18"/>
      <c r="C706" s="18"/>
      <c r="D706" s="18"/>
      <c r="E706" s="18"/>
      <c r="F706" s="18"/>
      <c r="G706" s="24"/>
      <c r="H706" s="24"/>
      <c r="I706" s="25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1.25" customHeight="1">
      <c r="A707" s="18"/>
      <c r="B707" s="18"/>
      <c r="C707" s="18"/>
      <c r="D707" s="18"/>
      <c r="E707" s="18"/>
      <c r="F707" s="18"/>
      <c r="G707" s="24"/>
      <c r="H707" s="24"/>
      <c r="I707" s="25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1.25" customHeight="1">
      <c r="A708" s="18"/>
      <c r="B708" s="18"/>
      <c r="C708" s="18"/>
      <c r="D708" s="18"/>
      <c r="E708" s="18"/>
      <c r="F708" s="18"/>
      <c r="G708" s="24"/>
      <c r="H708" s="24"/>
      <c r="I708" s="25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1.25" customHeight="1">
      <c r="A709" s="18"/>
      <c r="B709" s="18"/>
      <c r="C709" s="18"/>
      <c r="D709" s="18"/>
      <c r="E709" s="18"/>
      <c r="F709" s="18"/>
      <c r="G709" s="24"/>
      <c r="H709" s="24"/>
      <c r="I709" s="25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1.25" customHeight="1">
      <c r="A710" s="18"/>
      <c r="B710" s="18"/>
      <c r="C710" s="18"/>
      <c r="D710" s="18"/>
      <c r="E710" s="18"/>
      <c r="F710" s="18"/>
      <c r="G710" s="24"/>
      <c r="H710" s="24"/>
      <c r="I710" s="25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1.25" customHeight="1">
      <c r="A711" s="18"/>
      <c r="B711" s="18"/>
      <c r="C711" s="18"/>
      <c r="D711" s="18"/>
      <c r="E711" s="18"/>
      <c r="F711" s="18"/>
      <c r="G711" s="24"/>
      <c r="H711" s="24"/>
      <c r="I711" s="25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1.25" customHeight="1">
      <c r="A712" s="18"/>
      <c r="B712" s="18"/>
      <c r="C712" s="18"/>
      <c r="D712" s="18"/>
      <c r="E712" s="18"/>
      <c r="F712" s="18"/>
      <c r="G712" s="24"/>
      <c r="H712" s="24"/>
      <c r="I712" s="25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1.25" customHeight="1">
      <c r="A713" s="18"/>
      <c r="B713" s="18"/>
      <c r="C713" s="18"/>
      <c r="D713" s="18"/>
      <c r="E713" s="18"/>
      <c r="F713" s="18"/>
      <c r="G713" s="24"/>
      <c r="H713" s="24"/>
      <c r="I713" s="25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1.25" customHeight="1">
      <c r="A714" s="18"/>
      <c r="B714" s="18"/>
      <c r="C714" s="18"/>
      <c r="D714" s="18"/>
      <c r="E714" s="18"/>
      <c r="F714" s="18"/>
      <c r="G714" s="24"/>
      <c r="H714" s="24"/>
      <c r="I714" s="25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1.25" customHeight="1">
      <c r="A715" s="18"/>
      <c r="B715" s="18"/>
      <c r="C715" s="18"/>
      <c r="D715" s="18"/>
      <c r="E715" s="18"/>
      <c r="F715" s="18"/>
      <c r="G715" s="24"/>
      <c r="H715" s="24"/>
      <c r="I715" s="25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1.25" customHeight="1">
      <c r="A716" s="18"/>
      <c r="B716" s="18"/>
      <c r="C716" s="18"/>
      <c r="D716" s="18"/>
      <c r="E716" s="18"/>
      <c r="F716" s="18"/>
      <c r="G716" s="24"/>
      <c r="H716" s="24"/>
      <c r="I716" s="25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1.25" customHeight="1">
      <c r="A717" s="18"/>
      <c r="B717" s="18"/>
      <c r="C717" s="18"/>
      <c r="D717" s="18"/>
      <c r="E717" s="18"/>
      <c r="F717" s="18"/>
      <c r="G717" s="24"/>
      <c r="H717" s="24"/>
      <c r="I717" s="25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1.25" customHeight="1">
      <c r="A718" s="18"/>
      <c r="B718" s="18"/>
      <c r="C718" s="18"/>
      <c r="D718" s="18"/>
      <c r="E718" s="18"/>
      <c r="F718" s="18"/>
      <c r="G718" s="24"/>
      <c r="H718" s="24"/>
      <c r="I718" s="25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1.25" customHeight="1">
      <c r="A719" s="18"/>
      <c r="B719" s="18"/>
      <c r="C719" s="18"/>
      <c r="D719" s="18"/>
      <c r="E719" s="18"/>
      <c r="F719" s="18"/>
      <c r="G719" s="24"/>
      <c r="H719" s="24"/>
      <c r="I719" s="25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1.25" customHeight="1">
      <c r="A720" s="18"/>
      <c r="B720" s="18"/>
      <c r="C720" s="18"/>
      <c r="D720" s="18"/>
      <c r="E720" s="18"/>
      <c r="F720" s="18"/>
      <c r="G720" s="24"/>
      <c r="H720" s="24"/>
      <c r="I720" s="25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1.25" customHeight="1">
      <c r="A721" s="18"/>
      <c r="B721" s="18"/>
      <c r="C721" s="18"/>
      <c r="D721" s="18"/>
      <c r="E721" s="18"/>
      <c r="F721" s="18"/>
      <c r="G721" s="24"/>
      <c r="H721" s="24"/>
      <c r="I721" s="25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1.25" customHeight="1">
      <c r="A722" s="18"/>
      <c r="B722" s="18"/>
      <c r="C722" s="18"/>
      <c r="D722" s="18"/>
      <c r="E722" s="18"/>
      <c r="F722" s="18"/>
      <c r="G722" s="24"/>
      <c r="H722" s="24"/>
      <c r="I722" s="25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1.25" customHeight="1">
      <c r="A723" s="18"/>
      <c r="B723" s="18"/>
      <c r="C723" s="18"/>
      <c r="D723" s="18"/>
      <c r="E723" s="18"/>
      <c r="F723" s="18"/>
      <c r="G723" s="24"/>
      <c r="H723" s="24"/>
      <c r="I723" s="25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1.25" customHeight="1">
      <c r="A724" s="18"/>
      <c r="B724" s="18"/>
      <c r="C724" s="18"/>
      <c r="D724" s="18"/>
      <c r="E724" s="18"/>
      <c r="F724" s="18"/>
      <c r="G724" s="24"/>
      <c r="H724" s="24"/>
      <c r="I724" s="25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1.25" customHeight="1">
      <c r="A725" s="18"/>
      <c r="B725" s="18"/>
      <c r="C725" s="18"/>
      <c r="D725" s="18"/>
      <c r="E725" s="18"/>
      <c r="F725" s="18"/>
      <c r="G725" s="24"/>
      <c r="H725" s="24"/>
      <c r="I725" s="25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1.25" customHeight="1">
      <c r="A726" s="18"/>
      <c r="B726" s="18"/>
      <c r="C726" s="18"/>
      <c r="D726" s="18"/>
      <c r="E726" s="18"/>
      <c r="F726" s="18"/>
      <c r="G726" s="24"/>
      <c r="H726" s="24"/>
      <c r="I726" s="25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1.25" customHeight="1">
      <c r="A727" s="18"/>
      <c r="B727" s="18"/>
      <c r="C727" s="18"/>
      <c r="D727" s="18"/>
      <c r="E727" s="18"/>
      <c r="F727" s="18"/>
      <c r="G727" s="24"/>
      <c r="H727" s="24"/>
      <c r="I727" s="25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1.25" customHeight="1">
      <c r="A728" s="18"/>
      <c r="B728" s="18"/>
      <c r="C728" s="18"/>
      <c r="D728" s="18"/>
      <c r="E728" s="18"/>
      <c r="F728" s="18"/>
      <c r="G728" s="24"/>
      <c r="H728" s="24"/>
      <c r="I728" s="25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1.25" customHeight="1">
      <c r="A729" s="18"/>
      <c r="B729" s="18"/>
      <c r="C729" s="18"/>
      <c r="D729" s="18"/>
      <c r="E729" s="18"/>
      <c r="F729" s="18"/>
      <c r="G729" s="24"/>
      <c r="H729" s="24"/>
      <c r="I729" s="25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1.25" customHeight="1">
      <c r="A730" s="18"/>
      <c r="B730" s="18"/>
      <c r="C730" s="18"/>
      <c r="D730" s="18"/>
      <c r="E730" s="18"/>
      <c r="F730" s="18"/>
      <c r="G730" s="24"/>
      <c r="H730" s="24"/>
      <c r="I730" s="25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1.25" customHeight="1">
      <c r="A731" s="18"/>
      <c r="B731" s="18"/>
      <c r="C731" s="18"/>
      <c r="D731" s="18"/>
      <c r="E731" s="18"/>
      <c r="F731" s="18"/>
      <c r="G731" s="24"/>
      <c r="H731" s="24"/>
      <c r="I731" s="25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1.25" customHeight="1">
      <c r="A732" s="18"/>
      <c r="B732" s="18"/>
      <c r="C732" s="18"/>
      <c r="D732" s="18"/>
      <c r="E732" s="18"/>
      <c r="F732" s="18"/>
      <c r="G732" s="24"/>
      <c r="H732" s="24"/>
      <c r="I732" s="25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1.25" customHeight="1">
      <c r="A733" s="18"/>
      <c r="B733" s="18"/>
      <c r="C733" s="18"/>
      <c r="D733" s="18"/>
      <c r="E733" s="18"/>
      <c r="F733" s="18"/>
      <c r="G733" s="24"/>
      <c r="H733" s="24"/>
      <c r="I733" s="25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1.25" customHeight="1">
      <c r="A734" s="18"/>
      <c r="B734" s="18"/>
      <c r="C734" s="18"/>
      <c r="D734" s="18"/>
      <c r="E734" s="18"/>
      <c r="F734" s="18"/>
      <c r="G734" s="24"/>
      <c r="H734" s="24"/>
      <c r="I734" s="25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1.25" customHeight="1">
      <c r="A735" s="18"/>
      <c r="B735" s="18"/>
      <c r="C735" s="18"/>
      <c r="D735" s="18"/>
      <c r="E735" s="18"/>
      <c r="F735" s="18"/>
      <c r="G735" s="24"/>
      <c r="H735" s="24"/>
      <c r="I735" s="25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1.25" customHeight="1">
      <c r="A736" s="18"/>
      <c r="B736" s="18"/>
      <c r="C736" s="18"/>
      <c r="D736" s="18"/>
      <c r="E736" s="18"/>
      <c r="F736" s="18"/>
      <c r="G736" s="24"/>
      <c r="H736" s="24"/>
      <c r="I736" s="25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1.25" customHeight="1">
      <c r="A737" s="18"/>
      <c r="B737" s="18"/>
      <c r="C737" s="18"/>
      <c r="D737" s="18"/>
      <c r="E737" s="18"/>
      <c r="F737" s="18"/>
      <c r="G737" s="24"/>
      <c r="H737" s="24"/>
      <c r="I737" s="25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1.25" customHeight="1">
      <c r="A738" s="18"/>
      <c r="B738" s="18"/>
      <c r="C738" s="18"/>
      <c r="D738" s="18"/>
      <c r="E738" s="18"/>
      <c r="F738" s="18"/>
      <c r="G738" s="24"/>
      <c r="H738" s="24"/>
      <c r="I738" s="25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1.25" customHeight="1">
      <c r="A739" s="18"/>
      <c r="B739" s="18"/>
      <c r="C739" s="18"/>
      <c r="D739" s="18"/>
      <c r="E739" s="18"/>
      <c r="F739" s="18"/>
      <c r="G739" s="24"/>
      <c r="H739" s="24"/>
      <c r="I739" s="25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1.25" customHeight="1">
      <c r="A740" s="18"/>
      <c r="B740" s="18"/>
      <c r="C740" s="18"/>
      <c r="D740" s="18"/>
      <c r="E740" s="18"/>
      <c r="F740" s="18"/>
      <c r="G740" s="24"/>
      <c r="H740" s="24"/>
      <c r="I740" s="25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1.25" customHeight="1">
      <c r="A741" s="18"/>
      <c r="B741" s="18"/>
      <c r="C741" s="18"/>
      <c r="D741" s="18"/>
      <c r="E741" s="18"/>
      <c r="F741" s="18"/>
      <c r="G741" s="24"/>
      <c r="H741" s="24"/>
      <c r="I741" s="25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1.25" customHeight="1">
      <c r="A742" s="18"/>
      <c r="B742" s="18"/>
      <c r="C742" s="18"/>
      <c r="D742" s="18"/>
      <c r="E742" s="18"/>
      <c r="F742" s="18"/>
      <c r="G742" s="24"/>
      <c r="H742" s="24"/>
      <c r="I742" s="25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1.25" customHeight="1">
      <c r="A743" s="18"/>
      <c r="B743" s="18"/>
      <c r="C743" s="18"/>
      <c r="D743" s="18"/>
      <c r="E743" s="18"/>
      <c r="F743" s="18"/>
      <c r="G743" s="24"/>
      <c r="H743" s="24"/>
      <c r="I743" s="25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1.25" customHeight="1">
      <c r="A744" s="18"/>
      <c r="B744" s="18"/>
      <c r="C744" s="18"/>
      <c r="D744" s="18"/>
      <c r="E744" s="18"/>
      <c r="F744" s="18"/>
      <c r="G744" s="24"/>
      <c r="H744" s="24"/>
      <c r="I744" s="25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1.25" customHeight="1">
      <c r="A745" s="18"/>
      <c r="B745" s="18"/>
      <c r="C745" s="18"/>
      <c r="D745" s="18"/>
      <c r="E745" s="18"/>
      <c r="F745" s="18"/>
      <c r="G745" s="24"/>
      <c r="H745" s="24"/>
      <c r="I745" s="25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1.25" customHeight="1">
      <c r="A746" s="18"/>
      <c r="B746" s="18"/>
      <c r="C746" s="18"/>
      <c r="D746" s="18"/>
      <c r="E746" s="18"/>
      <c r="F746" s="18"/>
      <c r="G746" s="24"/>
      <c r="H746" s="24"/>
      <c r="I746" s="25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1.25" customHeight="1">
      <c r="A747" s="18"/>
      <c r="B747" s="18"/>
      <c r="C747" s="18"/>
      <c r="D747" s="18"/>
      <c r="E747" s="18"/>
      <c r="F747" s="18"/>
      <c r="G747" s="24"/>
      <c r="H747" s="24"/>
      <c r="I747" s="25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1.25" customHeight="1">
      <c r="A748" s="18"/>
      <c r="B748" s="18"/>
      <c r="C748" s="18"/>
      <c r="D748" s="18"/>
      <c r="E748" s="18"/>
      <c r="F748" s="18"/>
      <c r="G748" s="24"/>
      <c r="H748" s="24"/>
      <c r="I748" s="25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1.25" customHeight="1">
      <c r="A749" s="18"/>
      <c r="B749" s="18"/>
      <c r="C749" s="18"/>
      <c r="D749" s="18"/>
      <c r="E749" s="18"/>
      <c r="F749" s="18"/>
      <c r="G749" s="24"/>
      <c r="H749" s="24"/>
      <c r="I749" s="25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1.25" customHeight="1">
      <c r="A750" s="18"/>
      <c r="B750" s="18"/>
      <c r="C750" s="18"/>
      <c r="D750" s="18"/>
      <c r="E750" s="18"/>
      <c r="F750" s="18"/>
      <c r="G750" s="24"/>
      <c r="H750" s="24"/>
      <c r="I750" s="25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1.25" customHeight="1">
      <c r="A751" s="18"/>
      <c r="B751" s="18"/>
      <c r="C751" s="18"/>
      <c r="D751" s="18"/>
      <c r="E751" s="18"/>
      <c r="F751" s="18"/>
      <c r="G751" s="24"/>
      <c r="H751" s="24"/>
      <c r="I751" s="25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1.25" customHeight="1">
      <c r="A752" s="18"/>
      <c r="B752" s="18"/>
      <c r="C752" s="18"/>
      <c r="D752" s="18"/>
      <c r="E752" s="18"/>
      <c r="F752" s="18"/>
      <c r="G752" s="24"/>
      <c r="H752" s="24"/>
      <c r="I752" s="25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1.25" customHeight="1">
      <c r="A753" s="18"/>
      <c r="B753" s="18"/>
      <c r="C753" s="18"/>
      <c r="D753" s="18"/>
      <c r="E753" s="18"/>
      <c r="F753" s="18"/>
      <c r="G753" s="24"/>
      <c r="H753" s="24"/>
      <c r="I753" s="25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1.25" customHeight="1">
      <c r="A754" s="18"/>
      <c r="B754" s="18"/>
      <c r="C754" s="18"/>
      <c r="D754" s="18"/>
      <c r="E754" s="18"/>
      <c r="F754" s="18"/>
      <c r="G754" s="24"/>
      <c r="H754" s="24"/>
      <c r="I754" s="25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1.25" customHeight="1">
      <c r="A755" s="18"/>
      <c r="B755" s="18"/>
      <c r="C755" s="18"/>
      <c r="D755" s="18"/>
      <c r="E755" s="18"/>
      <c r="F755" s="18"/>
      <c r="G755" s="24"/>
      <c r="H755" s="24"/>
      <c r="I755" s="25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1.25" customHeight="1">
      <c r="A756" s="18"/>
      <c r="B756" s="18"/>
      <c r="C756" s="18"/>
      <c r="D756" s="18"/>
      <c r="E756" s="18"/>
      <c r="F756" s="18"/>
      <c r="G756" s="24"/>
      <c r="H756" s="24"/>
      <c r="I756" s="25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1.25" customHeight="1">
      <c r="A757" s="18"/>
      <c r="B757" s="18"/>
      <c r="C757" s="18"/>
      <c r="D757" s="18"/>
      <c r="E757" s="18"/>
      <c r="F757" s="18"/>
      <c r="G757" s="24"/>
      <c r="H757" s="24"/>
      <c r="I757" s="25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1.25" customHeight="1">
      <c r="A758" s="18"/>
      <c r="B758" s="18"/>
      <c r="C758" s="18"/>
      <c r="D758" s="18"/>
      <c r="E758" s="18"/>
      <c r="F758" s="18"/>
      <c r="G758" s="24"/>
      <c r="H758" s="24"/>
      <c r="I758" s="25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1.25" customHeight="1">
      <c r="A759" s="18"/>
      <c r="B759" s="18"/>
      <c r="C759" s="18"/>
      <c r="D759" s="18"/>
      <c r="E759" s="18"/>
      <c r="F759" s="18"/>
      <c r="G759" s="24"/>
      <c r="H759" s="24"/>
      <c r="I759" s="25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1.25" customHeight="1">
      <c r="A760" s="18"/>
      <c r="B760" s="18"/>
      <c r="C760" s="18"/>
      <c r="D760" s="18"/>
      <c r="E760" s="18"/>
      <c r="F760" s="18"/>
      <c r="G760" s="24"/>
      <c r="H760" s="24"/>
      <c r="I760" s="25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1.25" customHeight="1">
      <c r="A761" s="18"/>
      <c r="B761" s="18"/>
      <c r="C761" s="18"/>
      <c r="D761" s="18"/>
      <c r="E761" s="18"/>
      <c r="F761" s="18"/>
      <c r="G761" s="24"/>
      <c r="H761" s="24"/>
      <c r="I761" s="25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1.25" customHeight="1">
      <c r="A762" s="18"/>
      <c r="B762" s="18"/>
      <c r="C762" s="18"/>
      <c r="D762" s="18"/>
      <c r="E762" s="18"/>
      <c r="F762" s="18"/>
      <c r="G762" s="24"/>
      <c r="H762" s="24"/>
      <c r="I762" s="25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1.25" customHeight="1">
      <c r="A763" s="18"/>
      <c r="B763" s="18"/>
      <c r="C763" s="18"/>
      <c r="D763" s="18"/>
      <c r="E763" s="18"/>
      <c r="F763" s="18"/>
      <c r="G763" s="24"/>
      <c r="H763" s="24"/>
      <c r="I763" s="25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1.25" customHeight="1">
      <c r="A764" s="18"/>
      <c r="B764" s="18"/>
      <c r="C764" s="18"/>
      <c r="D764" s="18"/>
      <c r="E764" s="18"/>
      <c r="F764" s="18"/>
      <c r="G764" s="24"/>
      <c r="H764" s="24"/>
      <c r="I764" s="25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1.25" customHeight="1">
      <c r="A765" s="18"/>
      <c r="B765" s="18"/>
      <c r="C765" s="18"/>
      <c r="D765" s="18"/>
      <c r="E765" s="18"/>
      <c r="F765" s="18"/>
      <c r="G765" s="24"/>
      <c r="H765" s="24"/>
      <c r="I765" s="25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1.25" customHeight="1">
      <c r="A766" s="18"/>
      <c r="B766" s="18"/>
      <c r="C766" s="18"/>
      <c r="D766" s="18"/>
      <c r="E766" s="18"/>
      <c r="F766" s="18"/>
      <c r="G766" s="24"/>
      <c r="H766" s="24"/>
      <c r="I766" s="25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1.25" customHeight="1">
      <c r="A767" s="18"/>
      <c r="B767" s="18"/>
      <c r="C767" s="18"/>
      <c r="D767" s="18"/>
      <c r="E767" s="18"/>
      <c r="F767" s="18"/>
      <c r="G767" s="24"/>
      <c r="H767" s="24"/>
      <c r="I767" s="25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1.25" customHeight="1">
      <c r="A768" s="18"/>
      <c r="B768" s="18"/>
      <c r="C768" s="18"/>
      <c r="D768" s="18"/>
      <c r="E768" s="18"/>
      <c r="F768" s="18"/>
      <c r="G768" s="24"/>
      <c r="H768" s="24"/>
      <c r="I768" s="25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1.25" customHeight="1">
      <c r="A769" s="18"/>
      <c r="B769" s="18"/>
      <c r="C769" s="18"/>
      <c r="D769" s="18"/>
      <c r="E769" s="18"/>
      <c r="F769" s="18"/>
      <c r="G769" s="24"/>
      <c r="H769" s="24"/>
      <c r="I769" s="25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1.25" customHeight="1">
      <c r="A770" s="18"/>
      <c r="B770" s="18"/>
      <c r="C770" s="18"/>
      <c r="D770" s="18"/>
      <c r="E770" s="18"/>
      <c r="F770" s="18"/>
      <c r="G770" s="24"/>
      <c r="H770" s="24"/>
      <c r="I770" s="25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1.25" customHeight="1">
      <c r="A771" s="18"/>
      <c r="B771" s="18"/>
      <c r="C771" s="18"/>
      <c r="D771" s="18"/>
      <c r="E771" s="18"/>
      <c r="F771" s="18"/>
      <c r="G771" s="24"/>
      <c r="H771" s="24"/>
      <c r="I771" s="25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1.25" customHeight="1">
      <c r="A772" s="18"/>
      <c r="B772" s="18"/>
      <c r="C772" s="18"/>
      <c r="D772" s="18"/>
      <c r="E772" s="18"/>
      <c r="F772" s="18"/>
      <c r="G772" s="24"/>
      <c r="H772" s="24"/>
      <c r="I772" s="25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1.25" customHeight="1">
      <c r="A773" s="18"/>
      <c r="B773" s="18"/>
      <c r="C773" s="18"/>
      <c r="D773" s="18"/>
      <c r="E773" s="18"/>
      <c r="F773" s="18"/>
      <c r="G773" s="24"/>
      <c r="H773" s="24"/>
      <c r="I773" s="25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1.25" customHeight="1">
      <c r="A774" s="18"/>
      <c r="B774" s="18"/>
      <c r="C774" s="18"/>
      <c r="D774" s="18"/>
      <c r="E774" s="18"/>
      <c r="F774" s="18"/>
      <c r="G774" s="24"/>
      <c r="H774" s="24"/>
      <c r="I774" s="25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1.25" customHeight="1">
      <c r="A775" s="18"/>
      <c r="B775" s="18"/>
      <c r="C775" s="18"/>
      <c r="D775" s="18"/>
      <c r="E775" s="18"/>
      <c r="F775" s="18"/>
      <c r="G775" s="24"/>
      <c r="H775" s="24"/>
      <c r="I775" s="25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1.25" customHeight="1">
      <c r="A776" s="18"/>
      <c r="B776" s="18"/>
      <c r="C776" s="18"/>
      <c r="D776" s="18"/>
      <c r="E776" s="18"/>
      <c r="F776" s="18"/>
      <c r="G776" s="24"/>
      <c r="H776" s="24"/>
      <c r="I776" s="25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1.25" customHeight="1">
      <c r="A777" s="18"/>
      <c r="B777" s="18"/>
      <c r="C777" s="18"/>
      <c r="D777" s="18"/>
      <c r="E777" s="18"/>
      <c r="F777" s="18"/>
      <c r="G777" s="24"/>
      <c r="H777" s="24"/>
      <c r="I777" s="25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1.25" customHeight="1">
      <c r="A778" s="18"/>
      <c r="B778" s="18"/>
      <c r="C778" s="18"/>
      <c r="D778" s="18"/>
      <c r="E778" s="18"/>
      <c r="F778" s="18"/>
      <c r="G778" s="24"/>
      <c r="H778" s="24"/>
      <c r="I778" s="25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1.25" customHeight="1">
      <c r="A779" s="18"/>
      <c r="B779" s="18"/>
      <c r="C779" s="18"/>
      <c r="D779" s="18"/>
      <c r="E779" s="18"/>
      <c r="F779" s="18"/>
      <c r="G779" s="24"/>
      <c r="H779" s="24"/>
      <c r="I779" s="25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1.25" customHeight="1">
      <c r="A780" s="18"/>
      <c r="B780" s="18"/>
      <c r="C780" s="18"/>
      <c r="D780" s="18"/>
      <c r="E780" s="18"/>
      <c r="F780" s="18"/>
      <c r="G780" s="24"/>
      <c r="H780" s="24"/>
      <c r="I780" s="25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1.25" customHeight="1">
      <c r="A781" s="18"/>
      <c r="B781" s="18"/>
      <c r="C781" s="18"/>
      <c r="D781" s="18"/>
      <c r="E781" s="18"/>
      <c r="F781" s="18"/>
      <c r="G781" s="24"/>
      <c r="H781" s="24"/>
      <c r="I781" s="25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1.25" customHeight="1">
      <c r="A782" s="18"/>
      <c r="B782" s="18"/>
      <c r="C782" s="18"/>
      <c r="D782" s="18"/>
      <c r="E782" s="18"/>
      <c r="F782" s="18"/>
      <c r="G782" s="24"/>
      <c r="H782" s="24"/>
      <c r="I782" s="25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1.25" customHeight="1">
      <c r="A783" s="18"/>
      <c r="B783" s="18"/>
      <c r="C783" s="18"/>
      <c r="D783" s="18"/>
      <c r="E783" s="18"/>
      <c r="F783" s="18"/>
      <c r="G783" s="24"/>
      <c r="H783" s="24"/>
      <c r="I783" s="25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1.25" customHeight="1">
      <c r="A784" s="18"/>
      <c r="B784" s="18"/>
      <c r="C784" s="18"/>
      <c r="D784" s="18"/>
      <c r="E784" s="18"/>
      <c r="F784" s="18"/>
      <c r="G784" s="24"/>
      <c r="H784" s="24"/>
      <c r="I784" s="25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1.25" customHeight="1">
      <c r="A785" s="18"/>
      <c r="B785" s="18"/>
      <c r="C785" s="18"/>
      <c r="D785" s="18"/>
      <c r="E785" s="18"/>
      <c r="F785" s="18"/>
      <c r="G785" s="24"/>
      <c r="H785" s="24"/>
      <c r="I785" s="25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1.25" customHeight="1">
      <c r="A786" s="18"/>
      <c r="B786" s="18"/>
      <c r="C786" s="18"/>
      <c r="D786" s="18"/>
      <c r="E786" s="18"/>
      <c r="F786" s="18"/>
      <c r="G786" s="24"/>
      <c r="H786" s="24"/>
      <c r="I786" s="25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1.25" customHeight="1">
      <c r="A787" s="18"/>
      <c r="B787" s="18"/>
      <c r="C787" s="18"/>
      <c r="D787" s="18"/>
      <c r="E787" s="18"/>
      <c r="F787" s="18"/>
      <c r="G787" s="24"/>
      <c r="H787" s="24"/>
      <c r="I787" s="25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1.25" customHeight="1">
      <c r="A788" s="18"/>
      <c r="B788" s="18"/>
      <c r="C788" s="18"/>
      <c r="D788" s="18"/>
      <c r="E788" s="18"/>
      <c r="F788" s="18"/>
      <c r="G788" s="24"/>
      <c r="H788" s="24"/>
      <c r="I788" s="25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1.25" customHeight="1">
      <c r="A789" s="18"/>
      <c r="B789" s="18"/>
      <c r="C789" s="18"/>
      <c r="D789" s="18"/>
      <c r="E789" s="18"/>
      <c r="F789" s="18"/>
      <c r="G789" s="24"/>
      <c r="H789" s="24"/>
      <c r="I789" s="25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1.25" customHeight="1">
      <c r="A790" s="18"/>
      <c r="B790" s="18"/>
      <c r="C790" s="18"/>
      <c r="D790" s="18"/>
      <c r="E790" s="18"/>
      <c r="F790" s="18"/>
      <c r="G790" s="24"/>
      <c r="H790" s="24"/>
      <c r="I790" s="25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1.25" customHeight="1">
      <c r="A791" s="18"/>
      <c r="B791" s="18"/>
      <c r="C791" s="18"/>
      <c r="D791" s="18"/>
      <c r="E791" s="18"/>
      <c r="F791" s="18"/>
      <c r="G791" s="24"/>
      <c r="H791" s="24"/>
      <c r="I791" s="25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1.25" customHeight="1">
      <c r="A792" s="18"/>
      <c r="B792" s="18"/>
      <c r="C792" s="18"/>
      <c r="D792" s="18"/>
      <c r="E792" s="18"/>
      <c r="F792" s="18"/>
      <c r="G792" s="24"/>
      <c r="H792" s="24"/>
      <c r="I792" s="25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1.25" customHeight="1">
      <c r="A793" s="18"/>
      <c r="B793" s="18"/>
      <c r="C793" s="18"/>
      <c r="D793" s="18"/>
      <c r="E793" s="18"/>
      <c r="F793" s="18"/>
      <c r="G793" s="24"/>
      <c r="H793" s="24"/>
      <c r="I793" s="25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1.25" customHeight="1">
      <c r="A794" s="18"/>
      <c r="B794" s="18"/>
      <c r="C794" s="18"/>
      <c r="D794" s="18"/>
      <c r="E794" s="18"/>
      <c r="F794" s="18"/>
      <c r="G794" s="24"/>
      <c r="H794" s="24"/>
      <c r="I794" s="25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1.25" customHeight="1">
      <c r="A795" s="18"/>
      <c r="B795" s="18"/>
      <c r="C795" s="18"/>
      <c r="D795" s="18"/>
      <c r="E795" s="18"/>
      <c r="F795" s="18"/>
      <c r="G795" s="24"/>
      <c r="H795" s="24"/>
      <c r="I795" s="25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1.25" customHeight="1">
      <c r="A796" s="18"/>
      <c r="B796" s="18"/>
      <c r="C796" s="18"/>
      <c r="D796" s="18"/>
      <c r="E796" s="18"/>
      <c r="F796" s="18"/>
      <c r="G796" s="24"/>
      <c r="H796" s="24"/>
      <c r="I796" s="25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1.25" customHeight="1">
      <c r="A797" s="18"/>
      <c r="B797" s="18"/>
      <c r="C797" s="18"/>
      <c r="D797" s="18"/>
      <c r="E797" s="18"/>
      <c r="F797" s="18"/>
      <c r="G797" s="24"/>
      <c r="H797" s="24"/>
      <c r="I797" s="25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1.25" customHeight="1">
      <c r="A798" s="18"/>
      <c r="B798" s="18"/>
      <c r="C798" s="18"/>
      <c r="D798" s="18"/>
      <c r="E798" s="18"/>
      <c r="F798" s="18"/>
      <c r="G798" s="24"/>
      <c r="H798" s="24"/>
      <c r="I798" s="25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1.25" customHeight="1">
      <c r="A799" s="18"/>
      <c r="B799" s="18"/>
      <c r="C799" s="18"/>
      <c r="D799" s="18"/>
      <c r="E799" s="18"/>
      <c r="F799" s="18"/>
      <c r="G799" s="24"/>
      <c r="H799" s="24"/>
      <c r="I799" s="25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1.25" customHeight="1">
      <c r="A800" s="18"/>
      <c r="B800" s="18"/>
      <c r="C800" s="18"/>
      <c r="D800" s="18"/>
      <c r="E800" s="18"/>
      <c r="F800" s="18"/>
      <c r="G800" s="24"/>
      <c r="H800" s="24"/>
      <c r="I800" s="25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1.25" customHeight="1">
      <c r="A801" s="18"/>
      <c r="B801" s="18"/>
      <c r="C801" s="18"/>
      <c r="D801" s="18"/>
      <c r="E801" s="18"/>
      <c r="F801" s="18"/>
      <c r="G801" s="24"/>
      <c r="H801" s="24"/>
      <c r="I801" s="25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1.25" customHeight="1">
      <c r="A802" s="18"/>
      <c r="B802" s="18"/>
      <c r="C802" s="18"/>
      <c r="D802" s="18"/>
      <c r="E802" s="18"/>
      <c r="F802" s="18"/>
      <c r="G802" s="24"/>
      <c r="H802" s="24"/>
      <c r="I802" s="25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1.25" customHeight="1">
      <c r="A803" s="18"/>
      <c r="B803" s="18"/>
      <c r="C803" s="18"/>
      <c r="D803" s="18"/>
      <c r="E803" s="18"/>
      <c r="F803" s="18"/>
      <c r="G803" s="24"/>
      <c r="H803" s="24"/>
      <c r="I803" s="25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1.25" customHeight="1">
      <c r="A804" s="18"/>
      <c r="B804" s="18"/>
      <c r="C804" s="18"/>
      <c r="D804" s="18"/>
      <c r="E804" s="18"/>
      <c r="F804" s="18"/>
      <c r="G804" s="24"/>
      <c r="H804" s="24"/>
      <c r="I804" s="25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1.25" customHeight="1">
      <c r="A805" s="18"/>
      <c r="B805" s="18"/>
      <c r="C805" s="18"/>
      <c r="D805" s="18"/>
      <c r="E805" s="18"/>
      <c r="F805" s="18"/>
      <c r="G805" s="24"/>
      <c r="H805" s="24"/>
      <c r="I805" s="25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1.25" customHeight="1">
      <c r="A806" s="18"/>
      <c r="B806" s="18"/>
      <c r="C806" s="18"/>
      <c r="D806" s="18"/>
      <c r="E806" s="18"/>
      <c r="F806" s="18"/>
      <c r="G806" s="24"/>
      <c r="H806" s="24"/>
      <c r="I806" s="25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1.25" customHeight="1">
      <c r="A807" s="18"/>
      <c r="B807" s="18"/>
      <c r="C807" s="18"/>
      <c r="D807" s="18"/>
      <c r="E807" s="18"/>
      <c r="F807" s="18"/>
      <c r="G807" s="24"/>
      <c r="H807" s="24"/>
      <c r="I807" s="25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1.25" customHeight="1">
      <c r="A808" s="18"/>
      <c r="B808" s="18"/>
      <c r="C808" s="18"/>
      <c r="D808" s="18"/>
      <c r="E808" s="18"/>
      <c r="F808" s="18"/>
      <c r="G808" s="24"/>
      <c r="H808" s="24"/>
      <c r="I808" s="25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1.25" customHeight="1">
      <c r="A809" s="18"/>
      <c r="B809" s="18"/>
      <c r="C809" s="18"/>
      <c r="D809" s="18"/>
      <c r="E809" s="18"/>
      <c r="F809" s="18"/>
      <c r="G809" s="24"/>
      <c r="H809" s="24"/>
      <c r="I809" s="25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1.25" customHeight="1">
      <c r="A810" s="18"/>
      <c r="B810" s="18"/>
      <c r="C810" s="18"/>
      <c r="D810" s="18"/>
      <c r="E810" s="18"/>
      <c r="F810" s="18"/>
      <c r="G810" s="24"/>
      <c r="H810" s="24"/>
      <c r="I810" s="25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1.25" customHeight="1">
      <c r="A811" s="18"/>
      <c r="B811" s="18"/>
      <c r="C811" s="18"/>
      <c r="D811" s="18"/>
      <c r="E811" s="18"/>
      <c r="F811" s="18"/>
      <c r="G811" s="24"/>
      <c r="H811" s="24"/>
      <c r="I811" s="25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1.25" customHeight="1">
      <c r="A812" s="18"/>
      <c r="B812" s="18"/>
      <c r="C812" s="18"/>
      <c r="D812" s="18"/>
      <c r="E812" s="18"/>
      <c r="F812" s="18"/>
      <c r="G812" s="24"/>
      <c r="H812" s="24"/>
      <c r="I812" s="25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1.25" customHeight="1">
      <c r="A813" s="18"/>
      <c r="B813" s="18"/>
      <c r="C813" s="18"/>
      <c r="D813" s="18"/>
      <c r="E813" s="18"/>
      <c r="F813" s="18"/>
      <c r="G813" s="24"/>
      <c r="H813" s="24"/>
      <c r="I813" s="25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1.25" customHeight="1">
      <c r="A814" s="18"/>
      <c r="B814" s="18"/>
      <c r="C814" s="18"/>
      <c r="D814" s="18"/>
      <c r="E814" s="18"/>
      <c r="F814" s="18"/>
      <c r="G814" s="24"/>
      <c r="H814" s="24"/>
      <c r="I814" s="25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1.25" customHeight="1">
      <c r="A815" s="18"/>
      <c r="B815" s="18"/>
      <c r="C815" s="18"/>
      <c r="D815" s="18"/>
      <c r="E815" s="18"/>
      <c r="F815" s="18"/>
      <c r="G815" s="24"/>
      <c r="H815" s="24"/>
      <c r="I815" s="25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1.25" customHeight="1">
      <c r="A816" s="18"/>
      <c r="B816" s="18"/>
      <c r="C816" s="18"/>
      <c r="D816" s="18"/>
      <c r="E816" s="18"/>
      <c r="F816" s="18"/>
      <c r="G816" s="24"/>
      <c r="H816" s="24"/>
      <c r="I816" s="25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1.25" customHeight="1">
      <c r="A817" s="18"/>
      <c r="B817" s="18"/>
      <c r="C817" s="18"/>
      <c r="D817" s="18"/>
      <c r="E817" s="18"/>
      <c r="F817" s="18"/>
      <c r="G817" s="24"/>
      <c r="H817" s="24"/>
      <c r="I817" s="25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1.25" customHeight="1">
      <c r="A818" s="18"/>
      <c r="B818" s="18"/>
      <c r="C818" s="18"/>
      <c r="D818" s="18"/>
      <c r="E818" s="18"/>
      <c r="F818" s="18"/>
      <c r="G818" s="24"/>
      <c r="H818" s="24"/>
      <c r="I818" s="25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1.25" customHeight="1">
      <c r="A819" s="18"/>
      <c r="B819" s="18"/>
      <c r="C819" s="18"/>
      <c r="D819" s="18"/>
      <c r="E819" s="18"/>
      <c r="F819" s="18"/>
      <c r="G819" s="24"/>
      <c r="H819" s="24"/>
      <c r="I819" s="25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1.25" customHeight="1">
      <c r="A820" s="18"/>
      <c r="B820" s="18"/>
      <c r="C820" s="18"/>
      <c r="D820" s="18"/>
      <c r="E820" s="18"/>
      <c r="F820" s="18"/>
      <c r="G820" s="24"/>
      <c r="H820" s="24"/>
      <c r="I820" s="25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1.25" customHeight="1">
      <c r="A821" s="18"/>
      <c r="B821" s="18"/>
      <c r="C821" s="18"/>
      <c r="D821" s="18"/>
      <c r="E821" s="18"/>
      <c r="F821" s="18"/>
      <c r="G821" s="24"/>
      <c r="H821" s="24"/>
      <c r="I821" s="25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1.25" customHeight="1">
      <c r="A822" s="18"/>
      <c r="B822" s="18"/>
      <c r="C822" s="18"/>
      <c r="D822" s="18"/>
      <c r="E822" s="18"/>
      <c r="F822" s="18"/>
      <c r="G822" s="24"/>
      <c r="H822" s="24"/>
      <c r="I822" s="25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1.25" customHeight="1">
      <c r="A823" s="18"/>
      <c r="B823" s="18"/>
      <c r="C823" s="18"/>
      <c r="D823" s="18"/>
      <c r="E823" s="18"/>
      <c r="F823" s="18"/>
      <c r="G823" s="24"/>
      <c r="H823" s="24"/>
      <c r="I823" s="25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1.25" customHeight="1">
      <c r="A824" s="18"/>
      <c r="B824" s="18"/>
      <c r="C824" s="18"/>
      <c r="D824" s="18"/>
      <c r="E824" s="18"/>
      <c r="F824" s="18"/>
      <c r="G824" s="24"/>
      <c r="H824" s="24"/>
      <c r="I824" s="25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1.25" customHeight="1">
      <c r="A825" s="18"/>
      <c r="B825" s="18"/>
      <c r="C825" s="18"/>
      <c r="D825" s="18"/>
      <c r="E825" s="18"/>
      <c r="F825" s="18"/>
      <c r="G825" s="24"/>
      <c r="H825" s="24"/>
      <c r="I825" s="25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1.25" customHeight="1">
      <c r="A826" s="18"/>
      <c r="B826" s="18"/>
      <c r="C826" s="18"/>
      <c r="D826" s="18"/>
      <c r="E826" s="18"/>
      <c r="F826" s="18"/>
      <c r="G826" s="24"/>
      <c r="H826" s="24"/>
      <c r="I826" s="25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1.25" customHeight="1">
      <c r="A827" s="18"/>
      <c r="B827" s="18"/>
      <c r="C827" s="18"/>
      <c r="D827" s="18"/>
      <c r="E827" s="18"/>
      <c r="F827" s="18"/>
      <c r="G827" s="24"/>
      <c r="H827" s="24"/>
      <c r="I827" s="25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1.25" customHeight="1">
      <c r="A828" s="18"/>
      <c r="B828" s="18"/>
      <c r="C828" s="18"/>
      <c r="D828" s="18"/>
      <c r="E828" s="18"/>
      <c r="F828" s="18"/>
      <c r="G828" s="24"/>
      <c r="H828" s="24"/>
      <c r="I828" s="25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1.25" customHeight="1">
      <c r="A829" s="18"/>
      <c r="B829" s="18"/>
      <c r="C829" s="18"/>
      <c r="D829" s="18"/>
      <c r="E829" s="18"/>
      <c r="F829" s="18"/>
      <c r="G829" s="24"/>
      <c r="H829" s="24"/>
      <c r="I829" s="25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1.25" customHeight="1">
      <c r="A830" s="18"/>
      <c r="B830" s="18"/>
      <c r="C830" s="18"/>
      <c r="D830" s="18"/>
      <c r="E830" s="18"/>
      <c r="F830" s="18"/>
      <c r="G830" s="24"/>
      <c r="H830" s="24"/>
      <c r="I830" s="25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1.25" customHeight="1">
      <c r="A831" s="18"/>
      <c r="B831" s="18"/>
      <c r="C831" s="18"/>
      <c r="D831" s="18"/>
      <c r="E831" s="18"/>
      <c r="F831" s="18"/>
      <c r="G831" s="24"/>
      <c r="H831" s="24"/>
      <c r="I831" s="25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1.25" customHeight="1">
      <c r="A832" s="18"/>
      <c r="B832" s="18"/>
      <c r="C832" s="18"/>
      <c r="D832" s="18"/>
      <c r="E832" s="18"/>
      <c r="F832" s="18"/>
      <c r="G832" s="24"/>
      <c r="H832" s="24"/>
      <c r="I832" s="25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1.25" customHeight="1">
      <c r="A833" s="18"/>
      <c r="B833" s="18"/>
      <c r="C833" s="18"/>
      <c r="D833" s="18"/>
      <c r="E833" s="18"/>
      <c r="F833" s="18"/>
      <c r="G833" s="24"/>
      <c r="H833" s="24"/>
      <c r="I833" s="25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1.25" customHeight="1">
      <c r="A834" s="18"/>
      <c r="B834" s="18"/>
      <c r="C834" s="18"/>
      <c r="D834" s="18"/>
      <c r="E834" s="18"/>
      <c r="F834" s="18"/>
      <c r="G834" s="24"/>
      <c r="H834" s="24"/>
      <c r="I834" s="25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1.25" customHeight="1">
      <c r="A835" s="18"/>
      <c r="B835" s="18"/>
      <c r="C835" s="18"/>
      <c r="D835" s="18"/>
      <c r="E835" s="18"/>
      <c r="F835" s="18"/>
      <c r="G835" s="24"/>
      <c r="H835" s="24"/>
      <c r="I835" s="25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1.25" customHeight="1">
      <c r="A836" s="18"/>
      <c r="B836" s="18"/>
      <c r="C836" s="18"/>
      <c r="D836" s="18"/>
      <c r="E836" s="18"/>
      <c r="F836" s="18"/>
      <c r="G836" s="24"/>
      <c r="H836" s="24"/>
      <c r="I836" s="25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1.25" customHeight="1">
      <c r="A837" s="18"/>
      <c r="B837" s="18"/>
      <c r="C837" s="18"/>
      <c r="D837" s="18"/>
      <c r="E837" s="18"/>
      <c r="F837" s="18"/>
      <c r="G837" s="24"/>
      <c r="H837" s="24"/>
      <c r="I837" s="25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1.25" customHeight="1">
      <c r="A838" s="18"/>
      <c r="B838" s="18"/>
      <c r="C838" s="18"/>
      <c r="D838" s="18"/>
      <c r="E838" s="18"/>
      <c r="F838" s="18"/>
      <c r="G838" s="24"/>
      <c r="H838" s="24"/>
      <c r="I838" s="25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1.25" customHeight="1">
      <c r="A839" s="18"/>
      <c r="B839" s="18"/>
      <c r="C839" s="18"/>
      <c r="D839" s="18"/>
      <c r="E839" s="18"/>
      <c r="F839" s="18"/>
      <c r="G839" s="24"/>
      <c r="H839" s="24"/>
      <c r="I839" s="25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1.25" customHeight="1">
      <c r="A840" s="18"/>
      <c r="B840" s="18"/>
      <c r="C840" s="18"/>
      <c r="D840" s="18"/>
      <c r="E840" s="18"/>
      <c r="F840" s="18"/>
      <c r="G840" s="24"/>
      <c r="H840" s="24"/>
      <c r="I840" s="25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1.25" customHeight="1">
      <c r="A841" s="18"/>
      <c r="B841" s="18"/>
      <c r="C841" s="18"/>
      <c r="D841" s="18"/>
      <c r="E841" s="18"/>
      <c r="F841" s="18"/>
      <c r="G841" s="24"/>
      <c r="H841" s="24"/>
      <c r="I841" s="25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1.25" customHeight="1">
      <c r="A842" s="18"/>
      <c r="B842" s="18"/>
      <c r="C842" s="18"/>
      <c r="D842" s="18"/>
      <c r="E842" s="18"/>
      <c r="F842" s="18"/>
      <c r="G842" s="24"/>
      <c r="H842" s="24"/>
      <c r="I842" s="25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1.25" customHeight="1">
      <c r="A843" s="18"/>
      <c r="B843" s="18"/>
      <c r="C843" s="18"/>
      <c r="D843" s="18"/>
      <c r="E843" s="18"/>
      <c r="F843" s="18"/>
      <c r="G843" s="24"/>
      <c r="H843" s="24"/>
      <c r="I843" s="25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1.25" customHeight="1">
      <c r="A844" s="18"/>
      <c r="B844" s="18"/>
      <c r="C844" s="18"/>
      <c r="D844" s="18"/>
      <c r="E844" s="18"/>
      <c r="F844" s="18"/>
      <c r="G844" s="24"/>
      <c r="H844" s="24"/>
      <c r="I844" s="25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1.25" customHeight="1">
      <c r="A845" s="18"/>
      <c r="B845" s="18"/>
      <c r="C845" s="18"/>
      <c r="D845" s="18"/>
      <c r="E845" s="18"/>
      <c r="F845" s="18"/>
      <c r="G845" s="24"/>
      <c r="H845" s="24"/>
      <c r="I845" s="25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1.25" customHeight="1">
      <c r="A846" s="18"/>
      <c r="B846" s="18"/>
      <c r="C846" s="18"/>
      <c r="D846" s="18"/>
      <c r="E846" s="18"/>
      <c r="F846" s="18"/>
      <c r="G846" s="24"/>
      <c r="H846" s="24"/>
      <c r="I846" s="25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1.25" customHeight="1">
      <c r="A847" s="18"/>
      <c r="B847" s="18"/>
      <c r="C847" s="18"/>
      <c r="D847" s="18"/>
      <c r="E847" s="18"/>
      <c r="F847" s="18"/>
      <c r="G847" s="24"/>
      <c r="H847" s="24"/>
      <c r="I847" s="25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1.25" customHeight="1">
      <c r="A848" s="18"/>
      <c r="B848" s="18"/>
      <c r="C848" s="18"/>
      <c r="D848" s="18"/>
      <c r="E848" s="18"/>
      <c r="F848" s="18"/>
      <c r="G848" s="24"/>
      <c r="H848" s="24"/>
      <c r="I848" s="25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1.25" customHeight="1">
      <c r="A849" s="18"/>
      <c r="B849" s="18"/>
      <c r="C849" s="18"/>
      <c r="D849" s="18"/>
      <c r="E849" s="18"/>
      <c r="F849" s="18"/>
      <c r="G849" s="24"/>
      <c r="H849" s="24"/>
      <c r="I849" s="25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1.25" customHeight="1">
      <c r="A850" s="18"/>
      <c r="B850" s="18"/>
      <c r="C850" s="18"/>
      <c r="D850" s="18"/>
      <c r="E850" s="18"/>
      <c r="F850" s="18"/>
      <c r="G850" s="24"/>
      <c r="H850" s="24"/>
      <c r="I850" s="25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1.25" customHeight="1">
      <c r="A851" s="18"/>
      <c r="B851" s="18"/>
      <c r="C851" s="18"/>
      <c r="D851" s="18"/>
      <c r="E851" s="18"/>
      <c r="F851" s="18"/>
      <c r="G851" s="24"/>
      <c r="H851" s="24"/>
      <c r="I851" s="25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1.25" customHeight="1">
      <c r="A852" s="18"/>
      <c r="B852" s="18"/>
      <c r="C852" s="18"/>
      <c r="D852" s="18"/>
      <c r="E852" s="18"/>
      <c r="F852" s="18"/>
      <c r="G852" s="24"/>
      <c r="H852" s="24"/>
      <c r="I852" s="25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1.25" customHeight="1">
      <c r="A853" s="18"/>
      <c r="B853" s="18"/>
      <c r="C853" s="18"/>
      <c r="D853" s="18"/>
      <c r="E853" s="18"/>
      <c r="F853" s="18"/>
      <c r="G853" s="24"/>
      <c r="H853" s="24"/>
      <c r="I853" s="25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1.25" customHeight="1">
      <c r="A854" s="18"/>
      <c r="B854" s="18"/>
      <c r="C854" s="18"/>
      <c r="D854" s="18"/>
      <c r="E854" s="18"/>
      <c r="F854" s="18"/>
      <c r="G854" s="24"/>
      <c r="H854" s="24"/>
      <c r="I854" s="25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1.25" customHeight="1">
      <c r="A855" s="18"/>
      <c r="B855" s="18"/>
      <c r="C855" s="18"/>
      <c r="D855" s="18"/>
      <c r="E855" s="18"/>
      <c r="F855" s="18"/>
      <c r="G855" s="24"/>
      <c r="H855" s="24"/>
      <c r="I855" s="25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1.25" customHeight="1">
      <c r="A856" s="18"/>
      <c r="B856" s="18"/>
      <c r="C856" s="18"/>
      <c r="D856" s="18"/>
      <c r="E856" s="18"/>
      <c r="F856" s="18"/>
      <c r="G856" s="24"/>
      <c r="H856" s="24"/>
      <c r="I856" s="25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1.25" customHeight="1">
      <c r="A857" s="18"/>
      <c r="B857" s="18"/>
      <c r="C857" s="18"/>
      <c r="D857" s="18"/>
      <c r="E857" s="18"/>
      <c r="F857" s="18"/>
      <c r="G857" s="24"/>
      <c r="H857" s="24"/>
      <c r="I857" s="25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1.25" customHeight="1">
      <c r="A858" s="18"/>
      <c r="B858" s="18"/>
      <c r="C858" s="18"/>
      <c r="D858" s="18"/>
      <c r="E858" s="18"/>
      <c r="F858" s="18"/>
      <c r="G858" s="24"/>
      <c r="H858" s="24"/>
      <c r="I858" s="25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1.25" customHeight="1">
      <c r="A859" s="18"/>
      <c r="B859" s="18"/>
      <c r="C859" s="18"/>
      <c r="D859" s="18"/>
      <c r="E859" s="18"/>
      <c r="F859" s="18"/>
      <c r="G859" s="24"/>
      <c r="H859" s="24"/>
      <c r="I859" s="25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1.25" customHeight="1">
      <c r="A860" s="18"/>
      <c r="B860" s="18"/>
      <c r="C860" s="18"/>
      <c r="D860" s="18"/>
      <c r="E860" s="18"/>
      <c r="F860" s="18"/>
      <c r="G860" s="24"/>
      <c r="H860" s="24"/>
      <c r="I860" s="25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1.25" customHeight="1">
      <c r="A861" s="18"/>
      <c r="B861" s="18"/>
      <c r="C861" s="18"/>
      <c r="D861" s="18"/>
      <c r="E861" s="18"/>
      <c r="F861" s="18"/>
      <c r="G861" s="24"/>
      <c r="H861" s="24"/>
      <c r="I861" s="25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1.25" customHeight="1">
      <c r="A862" s="18"/>
      <c r="B862" s="18"/>
      <c r="C862" s="18"/>
      <c r="D862" s="18"/>
      <c r="E862" s="18"/>
      <c r="F862" s="18"/>
      <c r="G862" s="24"/>
      <c r="H862" s="24"/>
      <c r="I862" s="25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1.25" customHeight="1">
      <c r="A863" s="18"/>
      <c r="B863" s="18"/>
      <c r="C863" s="18"/>
      <c r="D863" s="18"/>
      <c r="E863" s="18"/>
      <c r="F863" s="18"/>
      <c r="G863" s="24"/>
      <c r="H863" s="24"/>
      <c r="I863" s="25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1.25" customHeight="1">
      <c r="A864" s="18"/>
      <c r="B864" s="18"/>
      <c r="C864" s="18"/>
      <c r="D864" s="18"/>
      <c r="E864" s="18"/>
      <c r="F864" s="18"/>
      <c r="G864" s="24"/>
      <c r="H864" s="24"/>
      <c r="I864" s="25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1.25" customHeight="1">
      <c r="A865" s="18"/>
      <c r="B865" s="18"/>
      <c r="C865" s="18"/>
      <c r="D865" s="18"/>
      <c r="E865" s="18"/>
      <c r="F865" s="18"/>
      <c r="G865" s="24"/>
      <c r="H865" s="24"/>
      <c r="I865" s="25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1.25" customHeight="1">
      <c r="A866" s="18"/>
      <c r="B866" s="18"/>
      <c r="C866" s="18"/>
      <c r="D866" s="18"/>
      <c r="E866" s="18"/>
      <c r="F866" s="18"/>
      <c r="G866" s="24"/>
      <c r="H866" s="24"/>
      <c r="I866" s="25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1.25" customHeight="1">
      <c r="A867" s="18"/>
      <c r="B867" s="18"/>
      <c r="C867" s="18"/>
      <c r="D867" s="18"/>
      <c r="E867" s="18"/>
      <c r="F867" s="18"/>
      <c r="G867" s="24"/>
      <c r="H867" s="24"/>
      <c r="I867" s="25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1.25" customHeight="1">
      <c r="A868" s="18"/>
      <c r="B868" s="18"/>
      <c r="C868" s="18"/>
      <c r="D868" s="18"/>
      <c r="E868" s="18"/>
      <c r="F868" s="18"/>
      <c r="G868" s="24"/>
      <c r="H868" s="24"/>
      <c r="I868" s="25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1.25" customHeight="1">
      <c r="A869" s="18"/>
      <c r="B869" s="18"/>
      <c r="C869" s="18"/>
      <c r="D869" s="18"/>
      <c r="E869" s="18"/>
      <c r="F869" s="18"/>
      <c r="G869" s="24"/>
      <c r="H869" s="24"/>
      <c r="I869" s="25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1.25" customHeight="1">
      <c r="A870" s="18"/>
      <c r="B870" s="18"/>
      <c r="C870" s="18"/>
      <c r="D870" s="18"/>
      <c r="E870" s="18"/>
      <c r="F870" s="18"/>
      <c r="G870" s="24"/>
      <c r="H870" s="24"/>
      <c r="I870" s="25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1.25" customHeight="1">
      <c r="A871" s="18"/>
      <c r="B871" s="18"/>
      <c r="C871" s="18"/>
      <c r="D871" s="18"/>
      <c r="E871" s="18"/>
      <c r="F871" s="18"/>
      <c r="G871" s="24"/>
      <c r="H871" s="24"/>
      <c r="I871" s="25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1.25" customHeight="1">
      <c r="A872" s="18"/>
      <c r="B872" s="18"/>
      <c r="C872" s="18"/>
      <c r="D872" s="18"/>
      <c r="E872" s="18"/>
      <c r="F872" s="18"/>
      <c r="G872" s="24"/>
      <c r="H872" s="24"/>
      <c r="I872" s="25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1.25" customHeight="1">
      <c r="A873" s="18"/>
      <c r="B873" s="18"/>
      <c r="C873" s="18"/>
      <c r="D873" s="18"/>
      <c r="E873" s="18"/>
      <c r="F873" s="18"/>
      <c r="G873" s="24"/>
      <c r="H873" s="24"/>
      <c r="I873" s="25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1.25" customHeight="1">
      <c r="A874" s="18"/>
      <c r="B874" s="18"/>
      <c r="C874" s="18"/>
      <c r="D874" s="18"/>
      <c r="E874" s="18"/>
      <c r="F874" s="18"/>
      <c r="G874" s="24"/>
      <c r="H874" s="24"/>
      <c r="I874" s="25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1.25" customHeight="1">
      <c r="A875" s="18"/>
      <c r="B875" s="18"/>
      <c r="C875" s="18"/>
      <c r="D875" s="18"/>
      <c r="E875" s="18"/>
      <c r="F875" s="18"/>
      <c r="G875" s="24"/>
      <c r="H875" s="24"/>
      <c r="I875" s="25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1.25" customHeight="1">
      <c r="A876" s="18"/>
      <c r="B876" s="18"/>
      <c r="C876" s="18"/>
      <c r="D876" s="18"/>
      <c r="E876" s="18"/>
      <c r="F876" s="18"/>
      <c r="G876" s="24"/>
      <c r="H876" s="24"/>
      <c r="I876" s="25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1.25" customHeight="1">
      <c r="A877" s="18"/>
      <c r="B877" s="18"/>
      <c r="C877" s="18"/>
      <c r="D877" s="18"/>
      <c r="E877" s="18"/>
      <c r="F877" s="18"/>
      <c r="G877" s="24"/>
      <c r="H877" s="24"/>
      <c r="I877" s="25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1.25" customHeight="1">
      <c r="A878" s="18"/>
      <c r="B878" s="18"/>
      <c r="C878" s="18"/>
      <c r="D878" s="18"/>
      <c r="E878" s="18"/>
      <c r="F878" s="18"/>
      <c r="G878" s="24"/>
      <c r="H878" s="24"/>
      <c r="I878" s="25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1.25" customHeight="1">
      <c r="A879" s="18"/>
      <c r="B879" s="18"/>
      <c r="C879" s="18"/>
      <c r="D879" s="18"/>
      <c r="E879" s="18"/>
      <c r="F879" s="18"/>
      <c r="G879" s="24"/>
      <c r="H879" s="24"/>
      <c r="I879" s="25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1.25" customHeight="1">
      <c r="A880" s="18"/>
      <c r="B880" s="18"/>
      <c r="C880" s="18"/>
      <c r="D880" s="18"/>
      <c r="E880" s="18"/>
      <c r="F880" s="18"/>
      <c r="G880" s="24"/>
      <c r="H880" s="24"/>
      <c r="I880" s="25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1.25" customHeight="1">
      <c r="A881" s="18"/>
      <c r="B881" s="18"/>
      <c r="C881" s="18"/>
      <c r="D881" s="18"/>
      <c r="E881" s="18"/>
      <c r="F881" s="18"/>
      <c r="G881" s="24"/>
      <c r="H881" s="24"/>
      <c r="I881" s="25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1.25" customHeight="1">
      <c r="A882" s="18"/>
      <c r="B882" s="18"/>
      <c r="C882" s="18"/>
      <c r="D882" s="18"/>
      <c r="E882" s="18"/>
      <c r="F882" s="18"/>
      <c r="G882" s="24"/>
      <c r="H882" s="24"/>
      <c r="I882" s="25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1.25" customHeight="1">
      <c r="A883" s="18"/>
      <c r="B883" s="18"/>
      <c r="C883" s="18"/>
      <c r="D883" s="18"/>
      <c r="E883" s="18"/>
      <c r="F883" s="18"/>
      <c r="G883" s="24"/>
      <c r="H883" s="24"/>
      <c r="I883" s="25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1.25" customHeight="1">
      <c r="A884" s="18"/>
      <c r="B884" s="18"/>
      <c r="C884" s="18"/>
      <c r="D884" s="18"/>
      <c r="E884" s="18"/>
      <c r="F884" s="18"/>
      <c r="G884" s="24"/>
      <c r="H884" s="24"/>
      <c r="I884" s="25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1.25" customHeight="1">
      <c r="A885" s="18"/>
      <c r="B885" s="18"/>
      <c r="C885" s="18"/>
      <c r="D885" s="18"/>
      <c r="E885" s="18"/>
      <c r="F885" s="18"/>
      <c r="G885" s="24"/>
      <c r="H885" s="24"/>
      <c r="I885" s="25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1.25" customHeight="1">
      <c r="A886" s="18"/>
      <c r="B886" s="18"/>
      <c r="C886" s="18"/>
      <c r="D886" s="18"/>
      <c r="E886" s="18"/>
      <c r="F886" s="18"/>
      <c r="G886" s="24"/>
      <c r="H886" s="24"/>
      <c r="I886" s="25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1.25" customHeight="1">
      <c r="A887" s="18"/>
      <c r="B887" s="18"/>
      <c r="C887" s="18"/>
      <c r="D887" s="18"/>
      <c r="E887" s="18"/>
      <c r="F887" s="18"/>
      <c r="G887" s="24"/>
      <c r="H887" s="24"/>
      <c r="I887" s="25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1.25" customHeight="1">
      <c r="A888" s="18"/>
      <c r="B888" s="18"/>
      <c r="C888" s="18"/>
      <c r="D888" s="18"/>
      <c r="E888" s="18"/>
      <c r="F888" s="18"/>
      <c r="G888" s="24"/>
      <c r="H888" s="24"/>
      <c r="I888" s="25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1.25" customHeight="1">
      <c r="A889" s="18"/>
      <c r="B889" s="18"/>
      <c r="C889" s="18"/>
      <c r="D889" s="18"/>
      <c r="E889" s="18"/>
      <c r="F889" s="18"/>
      <c r="G889" s="24"/>
      <c r="H889" s="24"/>
      <c r="I889" s="25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1.25" customHeight="1">
      <c r="A890" s="18"/>
      <c r="B890" s="18"/>
      <c r="C890" s="18"/>
      <c r="D890" s="18"/>
      <c r="E890" s="18"/>
      <c r="F890" s="18"/>
      <c r="G890" s="24"/>
      <c r="H890" s="24"/>
      <c r="I890" s="25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1.25" customHeight="1">
      <c r="A891" s="18"/>
      <c r="B891" s="18"/>
      <c r="C891" s="18"/>
      <c r="D891" s="18"/>
      <c r="E891" s="18"/>
      <c r="F891" s="18"/>
      <c r="G891" s="24"/>
      <c r="H891" s="24"/>
      <c r="I891" s="25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1.25" customHeight="1">
      <c r="A892" s="18"/>
      <c r="B892" s="18"/>
      <c r="C892" s="18"/>
      <c r="D892" s="18"/>
      <c r="E892" s="18"/>
      <c r="F892" s="18"/>
      <c r="G892" s="24"/>
      <c r="H892" s="24"/>
      <c r="I892" s="25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1.25" customHeight="1">
      <c r="A893" s="18"/>
      <c r="B893" s="18"/>
      <c r="C893" s="18"/>
      <c r="D893" s="18"/>
      <c r="E893" s="18"/>
      <c r="F893" s="18"/>
      <c r="G893" s="24"/>
      <c r="H893" s="24"/>
      <c r="I893" s="25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1.25" customHeight="1">
      <c r="A894" s="18"/>
      <c r="B894" s="18"/>
      <c r="C894" s="18"/>
      <c r="D894" s="18"/>
      <c r="E894" s="18"/>
      <c r="F894" s="18"/>
      <c r="G894" s="24"/>
      <c r="H894" s="24"/>
      <c r="I894" s="25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1.25" customHeight="1">
      <c r="A895" s="18"/>
      <c r="B895" s="18"/>
      <c r="C895" s="18"/>
      <c r="D895" s="18"/>
      <c r="E895" s="18"/>
      <c r="F895" s="18"/>
      <c r="G895" s="24"/>
      <c r="H895" s="24"/>
      <c r="I895" s="25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1.25" customHeight="1">
      <c r="A896" s="18"/>
      <c r="B896" s="18"/>
      <c r="C896" s="18"/>
      <c r="D896" s="18"/>
      <c r="E896" s="18"/>
      <c r="F896" s="18"/>
      <c r="G896" s="24"/>
      <c r="H896" s="24"/>
      <c r="I896" s="25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1.25" customHeight="1">
      <c r="A897" s="18"/>
      <c r="B897" s="18"/>
      <c r="C897" s="18"/>
      <c r="D897" s="18"/>
      <c r="E897" s="18"/>
      <c r="F897" s="18"/>
      <c r="G897" s="24"/>
      <c r="H897" s="24"/>
      <c r="I897" s="25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1.25" customHeight="1">
      <c r="A898" s="18"/>
      <c r="B898" s="18"/>
      <c r="C898" s="18"/>
      <c r="D898" s="18"/>
      <c r="E898" s="18"/>
      <c r="F898" s="18"/>
      <c r="G898" s="24"/>
      <c r="H898" s="24"/>
      <c r="I898" s="25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1.25" customHeight="1">
      <c r="A899" s="18"/>
      <c r="B899" s="18"/>
      <c r="C899" s="18"/>
      <c r="D899" s="18"/>
      <c r="E899" s="18"/>
      <c r="F899" s="18"/>
      <c r="G899" s="24"/>
      <c r="H899" s="24"/>
      <c r="I899" s="25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1.25" customHeight="1">
      <c r="A900" s="18"/>
      <c r="B900" s="18"/>
      <c r="C900" s="18"/>
      <c r="D900" s="18"/>
      <c r="E900" s="18"/>
      <c r="F900" s="18"/>
      <c r="G900" s="24"/>
      <c r="H900" s="24"/>
      <c r="I900" s="25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1.25" customHeight="1">
      <c r="A901" s="18"/>
      <c r="B901" s="18"/>
      <c r="C901" s="18"/>
      <c r="D901" s="18"/>
      <c r="E901" s="18"/>
      <c r="F901" s="18"/>
      <c r="G901" s="24"/>
      <c r="H901" s="24"/>
      <c r="I901" s="25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1.25" customHeight="1">
      <c r="A902" s="18"/>
      <c r="B902" s="18"/>
      <c r="C902" s="18"/>
      <c r="D902" s="18"/>
      <c r="E902" s="18"/>
      <c r="F902" s="18"/>
      <c r="G902" s="24"/>
      <c r="H902" s="24"/>
      <c r="I902" s="25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1.25" customHeight="1">
      <c r="A903" s="18"/>
      <c r="B903" s="18"/>
      <c r="C903" s="18"/>
      <c r="D903" s="18"/>
      <c r="E903" s="18"/>
      <c r="F903" s="18"/>
      <c r="G903" s="24"/>
      <c r="H903" s="24"/>
      <c r="I903" s="25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1.25" customHeight="1">
      <c r="A904" s="18"/>
      <c r="B904" s="18"/>
      <c r="C904" s="18"/>
      <c r="D904" s="18"/>
      <c r="E904" s="18"/>
      <c r="F904" s="18"/>
      <c r="G904" s="24"/>
      <c r="H904" s="24"/>
      <c r="I904" s="25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1.25" customHeight="1">
      <c r="A905" s="18"/>
      <c r="B905" s="18"/>
      <c r="C905" s="18"/>
      <c r="D905" s="18"/>
      <c r="E905" s="18"/>
      <c r="F905" s="18"/>
      <c r="G905" s="24"/>
      <c r="H905" s="24"/>
      <c r="I905" s="25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1.25" customHeight="1">
      <c r="A906" s="18"/>
      <c r="B906" s="18"/>
      <c r="C906" s="18"/>
      <c r="D906" s="18"/>
      <c r="E906" s="18"/>
      <c r="F906" s="18"/>
      <c r="G906" s="24"/>
      <c r="H906" s="24"/>
      <c r="I906" s="25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1.25" customHeight="1">
      <c r="A907" s="18"/>
      <c r="B907" s="18"/>
      <c r="C907" s="18"/>
      <c r="D907" s="18"/>
      <c r="E907" s="18"/>
      <c r="F907" s="18"/>
      <c r="G907" s="24"/>
      <c r="H907" s="24"/>
      <c r="I907" s="25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1.25" customHeight="1">
      <c r="A908" s="18"/>
      <c r="B908" s="18"/>
      <c r="C908" s="18"/>
      <c r="D908" s="18"/>
      <c r="E908" s="18"/>
      <c r="F908" s="18"/>
      <c r="G908" s="24"/>
      <c r="H908" s="24"/>
      <c r="I908" s="25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1.25" customHeight="1">
      <c r="A909" s="18"/>
      <c r="B909" s="18"/>
      <c r="C909" s="18"/>
      <c r="D909" s="18"/>
      <c r="E909" s="18"/>
      <c r="F909" s="18"/>
      <c r="G909" s="24"/>
      <c r="H909" s="24"/>
      <c r="I909" s="25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1.25" customHeight="1">
      <c r="A910" s="18"/>
      <c r="B910" s="18"/>
      <c r="C910" s="18"/>
      <c r="D910" s="18"/>
      <c r="E910" s="18"/>
      <c r="F910" s="18"/>
      <c r="G910" s="24"/>
      <c r="H910" s="24"/>
      <c r="I910" s="25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1.25" customHeight="1">
      <c r="A911" s="18"/>
      <c r="B911" s="18"/>
      <c r="C911" s="18"/>
      <c r="D911" s="18"/>
      <c r="E911" s="18"/>
      <c r="F911" s="18"/>
      <c r="G911" s="24"/>
      <c r="H911" s="24"/>
      <c r="I911" s="25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1.25" customHeight="1">
      <c r="A912" s="18"/>
      <c r="B912" s="18"/>
      <c r="C912" s="18"/>
      <c r="D912" s="18"/>
      <c r="E912" s="18"/>
      <c r="F912" s="18"/>
      <c r="G912" s="24"/>
      <c r="H912" s="24"/>
      <c r="I912" s="25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1.25" customHeight="1">
      <c r="A913" s="18"/>
      <c r="B913" s="18"/>
      <c r="C913" s="18"/>
      <c r="D913" s="18"/>
      <c r="E913" s="18"/>
      <c r="F913" s="18"/>
      <c r="G913" s="24"/>
      <c r="H913" s="24"/>
      <c r="I913" s="25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1.25" customHeight="1">
      <c r="A914" s="18"/>
      <c r="B914" s="18"/>
      <c r="C914" s="18"/>
      <c r="D914" s="18"/>
      <c r="E914" s="18"/>
      <c r="F914" s="18"/>
      <c r="G914" s="24"/>
      <c r="H914" s="24"/>
      <c r="I914" s="25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1.25" customHeight="1">
      <c r="A915" s="18"/>
      <c r="B915" s="18"/>
      <c r="C915" s="18"/>
      <c r="D915" s="18"/>
      <c r="E915" s="18"/>
      <c r="F915" s="18"/>
      <c r="G915" s="24"/>
      <c r="H915" s="24"/>
      <c r="I915" s="25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1.25" customHeight="1">
      <c r="A916" s="18"/>
      <c r="B916" s="18"/>
      <c r="C916" s="18"/>
      <c r="D916" s="18"/>
      <c r="E916" s="18"/>
      <c r="F916" s="18"/>
      <c r="G916" s="24"/>
      <c r="H916" s="24"/>
      <c r="I916" s="25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1.25" customHeight="1">
      <c r="A917" s="18"/>
      <c r="B917" s="18"/>
      <c r="C917" s="18"/>
      <c r="D917" s="18"/>
      <c r="E917" s="18"/>
      <c r="F917" s="18"/>
      <c r="G917" s="24"/>
      <c r="H917" s="24"/>
      <c r="I917" s="25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1.25" customHeight="1">
      <c r="A918" s="18"/>
      <c r="B918" s="18"/>
      <c r="C918" s="18"/>
      <c r="D918" s="18"/>
      <c r="E918" s="18"/>
      <c r="F918" s="18"/>
      <c r="G918" s="24"/>
      <c r="H918" s="24"/>
      <c r="I918" s="25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1.25" customHeight="1">
      <c r="A919" s="18"/>
      <c r="B919" s="18"/>
      <c r="C919" s="18"/>
      <c r="D919" s="18"/>
      <c r="E919" s="18"/>
      <c r="F919" s="18"/>
      <c r="G919" s="24"/>
      <c r="H919" s="24"/>
      <c r="I919" s="25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1.25" customHeight="1">
      <c r="A920" s="18"/>
      <c r="B920" s="18"/>
      <c r="C920" s="18"/>
      <c r="D920" s="18"/>
      <c r="E920" s="18"/>
      <c r="F920" s="18"/>
      <c r="G920" s="24"/>
      <c r="H920" s="24"/>
      <c r="I920" s="25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1.25" customHeight="1">
      <c r="A921" s="18"/>
      <c r="B921" s="18"/>
      <c r="C921" s="18"/>
      <c r="D921" s="18"/>
      <c r="E921" s="18"/>
      <c r="F921" s="18"/>
      <c r="G921" s="24"/>
      <c r="H921" s="24"/>
      <c r="I921" s="25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1.25" customHeight="1">
      <c r="A922" s="18"/>
      <c r="B922" s="18"/>
      <c r="C922" s="18"/>
      <c r="D922" s="18"/>
      <c r="E922" s="18"/>
      <c r="F922" s="18"/>
      <c r="G922" s="24"/>
      <c r="H922" s="24"/>
      <c r="I922" s="25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1.25" customHeight="1">
      <c r="A923" s="18"/>
      <c r="B923" s="18"/>
      <c r="C923" s="18"/>
      <c r="D923" s="18"/>
      <c r="E923" s="18"/>
      <c r="F923" s="18"/>
      <c r="G923" s="24"/>
      <c r="H923" s="24"/>
      <c r="I923" s="25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1.25" customHeight="1">
      <c r="A924" s="18"/>
      <c r="B924" s="18"/>
      <c r="C924" s="18"/>
      <c r="D924" s="18"/>
      <c r="E924" s="18"/>
      <c r="F924" s="18"/>
      <c r="G924" s="24"/>
      <c r="H924" s="24"/>
      <c r="I924" s="25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1.25" customHeight="1">
      <c r="A925" s="18"/>
      <c r="B925" s="18"/>
      <c r="C925" s="18"/>
      <c r="D925" s="18"/>
      <c r="E925" s="18"/>
      <c r="F925" s="18"/>
      <c r="G925" s="24"/>
      <c r="H925" s="24"/>
      <c r="I925" s="25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1.25" customHeight="1">
      <c r="A926" s="18"/>
      <c r="B926" s="18"/>
      <c r="C926" s="18"/>
      <c r="D926" s="18"/>
      <c r="E926" s="18"/>
      <c r="F926" s="18"/>
      <c r="G926" s="24"/>
      <c r="H926" s="24"/>
      <c r="I926" s="25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1.25" customHeight="1">
      <c r="A927" s="18"/>
      <c r="B927" s="18"/>
      <c r="C927" s="18"/>
      <c r="D927" s="18"/>
      <c r="E927" s="18"/>
      <c r="F927" s="18"/>
      <c r="G927" s="24"/>
      <c r="H927" s="24"/>
      <c r="I927" s="25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1.25" customHeight="1">
      <c r="A928" s="18"/>
      <c r="B928" s="18"/>
      <c r="C928" s="18"/>
      <c r="D928" s="18"/>
      <c r="E928" s="18"/>
      <c r="F928" s="18"/>
      <c r="G928" s="24"/>
      <c r="H928" s="24"/>
      <c r="I928" s="25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1.25" customHeight="1">
      <c r="A929" s="18"/>
      <c r="B929" s="18"/>
      <c r="C929" s="18"/>
      <c r="D929" s="18"/>
      <c r="E929" s="18"/>
      <c r="F929" s="18"/>
      <c r="G929" s="24"/>
      <c r="H929" s="24"/>
      <c r="I929" s="25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1.25" customHeight="1">
      <c r="A930" s="18"/>
      <c r="B930" s="18"/>
      <c r="C930" s="18"/>
      <c r="D930" s="18"/>
      <c r="E930" s="18"/>
      <c r="F930" s="18"/>
      <c r="G930" s="24"/>
      <c r="H930" s="24"/>
      <c r="I930" s="25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1.25" customHeight="1">
      <c r="A931" s="18"/>
      <c r="B931" s="18"/>
      <c r="C931" s="18"/>
      <c r="D931" s="18"/>
      <c r="E931" s="18"/>
      <c r="F931" s="18"/>
      <c r="G931" s="24"/>
      <c r="H931" s="24"/>
      <c r="I931" s="25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1.25" customHeight="1">
      <c r="A932" s="18"/>
      <c r="B932" s="18"/>
      <c r="C932" s="18"/>
      <c r="D932" s="18"/>
      <c r="E932" s="18"/>
      <c r="F932" s="18"/>
      <c r="G932" s="24"/>
      <c r="H932" s="24"/>
      <c r="I932" s="25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1.25" customHeight="1">
      <c r="A933" s="18"/>
      <c r="B933" s="18"/>
      <c r="C933" s="18"/>
      <c r="D933" s="18"/>
      <c r="E933" s="18"/>
      <c r="F933" s="18"/>
      <c r="G933" s="24"/>
      <c r="H933" s="24"/>
      <c r="I933" s="25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1.25" customHeight="1">
      <c r="A934" s="18"/>
      <c r="B934" s="18"/>
      <c r="C934" s="18"/>
      <c r="D934" s="18"/>
      <c r="E934" s="18"/>
      <c r="F934" s="18"/>
      <c r="G934" s="24"/>
      <c r="H934" s="24"/>
      <c r="I934" s="25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1.25" customHeight="1">
      <c r="A935" s="18"/>
      <c r="B935" s="18"/>
      <c r="C935" s="18"/>
      <c r="D935" s="18"/>
      <c r="E935" s="18"/>
      <c r="F935" s="18"/>
      <c r="G935" s="24"/>
      <c r="H935" s="24"/>
      <c r="I935" s="25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1.25" customHeight="1">
      <c r="A936" s="18"/>
      <c r="B936" s="18"/>
      <c r="C936" s="18"/>
      <c r="D936" s="18"/>
      <c r="E936" s="18"/>
      <c r="F936" s="18"/>
      <c r="G936" s="24"/>
      <c r="H936" s="24"/>
      <c r="I936" s="25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1.25" customHeight="1">
      <c r="A937" s="18"/>
      <c r="B937" s="18"/>
      <c r="C937" s="18"/>
      <c r="D937" s="18"/>
      <c r="E937" s="18"/>
      <c r="F937" s="18"/>
      <c r="G937" s="24"/>
      <c r="H937" s="24"/>
      <c r="I937" s="25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1.25" customHeight="1">
      <c r="A938" s="18"/>
      <c r="B938" s="18"/>
      <c r="C938" s="18"/>
      <c r="D938" s="18"/>
      <c r="E938" s="18"/>
      <c r="F938" s="18"/>
      <c r="G938" s="24"/>
      <c r="H938" s="24"/>
      <c r="I938" s="25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1.25" customHeight="1">
      <c r="A939" s="18"/>
      <c r="B939" s="18"/>
      <c r="C939" s="18"/>
      <c r="D939" s="18"/>
      <c r="E939" s="18"/>
      <c r="F939" s="18"/>
      <c r="G939" s="24"/>
      <c r="H939" s="24"/>
      <c r="I939" s="25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1.25" customHeight="1">
      <c r="A940" s="18"/>
      <c r="B940" s="18"/>
      <c r="C940" s="18"/>
      <c r="D940" s="18"/>
      <c r="E940" s="18"/>
      <c r="F940" s="18"/>
      <c r="G940" s="24"/>
      <c r="H940" s="24"/>
      <c r="I940" s="25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1.25" customHeight="1">
      <c r="A941" s="18"/>
      <c r="B941" s="18"/>
      <c r="C941" s="18"/>
      <c r="D941" s="18"/>
      <c r="E941" s="18"/>
      <c r="F941" s="18"/>
      <c r="G941" s="24"/>
      <c r="H941" s="24"/>
      <c r="I941" s="25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1.25" customHeight="1">
      <c r="A942" s="18"/>
      <c r="B942" s="18"/>
      <c r="C942" s="18"/>
      <c r="D942" s="18"/>
      <c r="E942" s="18"/>
      <c r="F942" s="18"/>
      <c r="G942" s="24"/>
      <c r="H942" s="24"/>
      <c r="I942" s="25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1.25" customHeight="1">
      <c r="A943" s="18"/>
      <c r="B943" s="18"/>
      <c r="C943" s="18"/>
      <c r="D943" s="18"/>
      <c r="E943" s="18"/>
      <c r="F943" s="18"/>
      <c r="G943" s="24"/>
      <c r="H943" s="24"/>
      <c r="I943" s="25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1.25" customHeight="1">
      <c r="A944" s="18"/>
      <c r="B944" s="18"/>
      <c r="C944" s="18"/>
      <c r="D944" s="18"/>
      <c r="E944" s="18"/>
      <c r="F944" s="18"/>
      <c r="G944" s="24"/>
      <c r="H944" s="24"/>
      <c r="I944" s="25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1.25" customHeight="1">
      <c r="A945" s="18"/>
      <c r="B945" s="18"/>
      <c r="C945" s="18"/>
      <c r="D945" s="18"/>
      <c r="E945" s="18"/>
      <c r="F945" s="18"/>
      <c r="G945" s="24"/>
      <c r="H945" s="24"/>
      <c r="I945" s="25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1.25" customHeight="1">
      <c r="A946" s="18"/>
      <c r="B946" s="18"/>
      <c r="C946" s="18"/>
      <c r="D946" s="18"/>
      <c r="E946" s="18"/>
      <c r="F946" s="18"/>
      <c r="G946" s="24"/>
      <c r="H946" s="24"/>
      <c r="I946" s="25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1.25" customHeight="1">
      <c r="A947" s="18"/>
      <c r="B947" s="18"/>
      <c r="C947" s="18"/>
      <c r="D947" s="18"/>
      <c r="E947" s="18"/>
      <c r="F947" s="18"/>
      <c r="G947" s="24"/>
      <c r="H947" s="24"/>
      <c r="I947" s="25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1.25" customHeight="1">
      <c r="A948" s="18"/>
      <c r="B948" s="18"/>
      <c r="C948" s="18"/>
      <c r="D948" s="18"/>
      <c r="E948" s="18"/>
      <c r="F948" s="18"/>
      <c r="G948" s="24"/>
      <c r="H948" s="24"/>
      <c r="I948" s="25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1.25" customHeight="1">
      <c r="A949" s="18"/>
      <c r="B949" s="18"/>
      <c r="C949" s="18"/>
      <c r="D949" s="18"/>
      <c r="E949" s="18"/>
      <c r="F949" s="18"/>
      <c r="G949" s="24"/>
      <c r="H949" s="24"/>
      <c r="I949" s="25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1.25" customHeight="1">
      <c r="A950" s="18"/>
      <c r="B950" s="18"/>
      <c r="C950" s="18"/>
      <c r="D950" s="18"/>
      <c r="E950" s="18"/>
      <c r="F950" s="18"/>
      <c r="G950" s="24"/>
      <c r="H950" s="24"/>
      <c r="I950" s="25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1.25" customHeight="1">
      <c r="A951" s="18"/>
      <c r="B951" s="18"/>
      <c r="C951" s="18"/>
      <c r="D951" s="18"/>
      <c r="E951" s="18"/>
      <c r="F951" s="18"/>
      <c r="G951" s="24"/>
      <c r="H951" s="24"/>
      <c r="I951" s="25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1.25" customHeight="1">
      <c r="A952" s="18"/>
      <c r="B952" s="18"/>
      <c r="C952" s="18"/>
      <c r="D952" s="18"/>
      <c r="E952" s="18"/>
      <c r="F952" s="18"/>
      <c r="G952" s="24"/>
      <c r="H952" s="24"/>
      <c r="I952" s="25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1.25" customHeight="1">
      <c r="A953" s="18"/>
      <c r="B953" s="18"/>
      <c r="C953" s="18"/>
      <c r="D953" s="18"/>
      <c r="E953" s="18"/>
      <c r="F953" s="18"/>
      <c r="G953" s="24"/>
      <c r="H953" s="24"/>
      <c r="I953" s="25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1.25" customHeight="1">
      <c r="A954" s="18"/>
      <c r="B954" s="18"/>
      <c r="C954" s="18"/>
      <c r="D954" s="18"/>
      <c r="E954" s="18"/>
      <c r="F954" s="18"/>
      <c r="G954" s="24"/>
      <c r="H954" s="24"/>
      <c r="I954" s="25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1.25" customHeight="1">
      <c r="A955" s="18"/>
      <c r="B955" s="18"/>
      <c r="C955" s="18"/>
      <c r="D955" s="18"/>
      <c r="E955" s="18"/>
      <c r="F955" s="18"/>
      <c r="G955" s="24"/>
      <c r="H955" s="24"/>
      <c r="I955" s="25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1.25" customHeight="1">
      <c r="A956" s="18"/>
      <c r="B956" s="18"/>
      <c r="C956" s="18"/>
      <c r="D956" s="18"/>
      <c r="E956" s="18"/>
      <c r="F956" s="18"/>
      <c r="G956" s="24"/>
      <c r="H956" s="24"/>
      <c r="I956" s="25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1.25" customHeight="1">
      <c r="A957" s="18"/>
      <c r="B957" s="18"/>
      <c r="C957" s="18"/>
      <c r="D957" s="18"/>
      <c r="E957" s="18"/>
      <c r="F957" s="18"/>
      <c r="G957" s="24"/>
      <c r="H957" s="24"/>
      <c r="I957" s="25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1.25" customHeight="1">
      <c r="A958" s="18"/>
      <c r="B958" s="18"/>
      <c r="C958" s="18"/>
      <c r="D958" s="18"/>
      <c r="E958" s="18"/>
      <c r="F958" s="18"/>
      <c r="G958" s="24"/>
      <c r="H958" s="24"/>
      <c r="I958" s="25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1.25" customHeight="1">
      <c r="A959" s="18"/>
      <c r="B959" s="18"/>
      <c r="C959" s="18"/>
      <c r="D959" s="18"/>
      <c r="E959" s="18"/>
      <c r="F959" s="18"/>
      <c r="G959" s="24"/>
      <c r="H959" s="24"/>
      <c r="I959" s="25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1.25" customHeight="1">
      <c r="A960" s="18"/>
      <c r="B960" s="18"/>
      <c r="C960" s="18"/>
      <c r="D960" s="18"/>
      <c r="E960" s="18"/>
      <c r="F960" s="18"/>
      <c r="G960" s="24"/>
      <c r="H960" s="24"/>
      <c r="I960" s="25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1.25" customHeight="1">
      <c r="A961" s="18"/>
      <c r="B961" s="18"/>
      <c r="C961" s="18"/>
      <c r="D961" s="18"/>
      <c r="E961" s="18"/>
      <c r="F961" s="18"/>
      <c r="G961" s="24"/>
      <c r="H961" s="24"/>
      <c r="I961" s="25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1.25" customHeight="1">
      <c r="A962" s="18"/>
      <c r="B962" s="18"/>
      <c r="C962" s="18"/>
      <c r="D962" s="18"/>
      <c r="E962" s="18"/>
      <c r="F962" s="18"/>
      <c r="G962" s="24"/>
      <c r="H962" s="24"/>
      <c r="I962" s="25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1.25" customHeight="1">
      <c r="A963" s="18"/>
      <c r="B963" s="18"/>
      <c r="C963" s="18"/>
      <c r="D963" s="18"/>
      <c r="E963" s="18"/>
      <c r="F963" s="18"/>
      <c r="G963" s="24"/>
      <c r="H963" s="24"/>
      <c r="I963" s="25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1.25" customHeight="1">
      <c r="A964" s="18"/>
      <c r="B964" s="18"/>
      <c r="C964" s="18"/>
      <c r="D964" s="18"/>
      <c r="E964" s="18"/>
      <c r="F964" s="18"/>
      <c r="G964" s="24"/>
      <c r="H964" s="24"/>
      <c r="I964" s="25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1.25" customHeight="1">
      <c r="A965" s="18"/>
      <c r="B965" s="18"/>
      <c r="C965" s="18"/>
      <c r="D965" s="18"/>
      <c r="E965" s="18"/>
      <c r="F965" s="18"/>
      <c r="G965" s="24"/>
      <c r="H965" s="24"/>
      <c r="I965" s="25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1.25" customHeight="1">
      <c r="A966" s="18"/>
      <c r="B966" s="18"/>
      <c r="C966" s="18"/>
      <c r="D966" s="18"/>
      <c r="E966" s="18"/>
      <c r="F966" s="18"/>
      <c r="G966" s="24"/>
      <c r="H966" s="24"/>
      <c r="I966" s="25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1.25" customHeight="1">
      <c r="A967" s="18"/>
      <c r="B967" s="18"/>
      <c r="C967" s="18"/>
      <c r="D967" s="18"/>
      <c r="E967" s="18"/>
      <c r="F967" s="18"/>
      <c r="G967" s="24"/>
      <c r="H967" s="24"/>
      <c r="I967" s="25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1.25" customHeight="1">
      <c r="A968" s="18"/>
      <c r="B968" s="18"/>
      <c r="C968" s="18"/>
      <c r="D968" s="18"/>
      <c r="E968" s="18"/>
      <c r="F968" s="18"/>
      <c r="G968" s="24"/>
      <c r="H968" s="24"/>
      <c r="I968" s="25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1.25" customHeight="1">
      <c r="A969" s="18"/>
      <c r="B969" s="18"/>
      <c r="C969" s="18"/>
      <c r="D969" s="18"/>
      <c r="E969" s="18"/>
      <c r="F969" s="18"/>
      <c r="G969" s="24"/>
      <c r="H969" s="24"/>
      <c r="I969" s="25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1.25" customHeight="1">
      <c r="A970" s="18"/>
      <c r="B970" s="18"/>
      <c r="C970" s="18"/>
      <c r="D970" s="18"/>
      <c r="E970" s="18"/>
      <c r="F970" s="18"/>
      <c r="G970" s="24"/>
      <c r="H970" s="24"/>
      <c r="I970" s="25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1.25" customHeight="1">
      <c r="A971" s="18"/>
      <c r="B971" s="18"/>
      <c r="C971" s="18"/>
      <c r="D971" s="18"/>
      <c r="E971" s="18"/>
      <c r="F971" s="18"/>
      <c r="G971" s="24"/>
      <c r="H971" s="24"/>
      <c r="I971" s="25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1.25" customHeight="1">
      <c r="A972" s="18"/>
      <c r="B972" s="18"/>
      <c r="C972" s="18"/>
      <c r="D972" s="18"/>
      <c r="E972" s="18"/>
      <c r="F972" s="18"/>
      <c r="G972" s="24"/>
      <c r="H972" s="24"/>
      <c r="I972" s="25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1.25" customHeight="1">
      <c r="A973" s="18"/>
      <c r="B973" s="18"/>
      <c r="C973" s="18"/>
      <c r="D973" s="18"/>
      <c r="E973" s="18"/>
      <c r="F973" s="18"/>
      <c r="G973" s="24"/>
      <c r="H973" s="24"/>
      <c r="I973" s="25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1.25" customHeight="1">
      <c r="A974" s="18"/>
      <c r="B974" s="18"/>
      <c r="C974" s="18"/>
      <c r="D974" s="18"/>
      <c r="E974" s="18"/>
      <c r="F974" s="18"/>
      <c r="G974" s="24"/>
      <c r="H974" s="24"/>
      <c r="I974" s="25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1.25" customHeight="1">
      <c r="A975" s="18"/>
      <c r="B975" s="18"/>
      <c r="C975" s="18"/>
      <c r="D975" s="18"/>
      <c r="E975" s="18"/>
      <c r="F975" s="18"/>
      <c r="G975" s="24"/>
      <c r="H975" s="24"/>
      <c r="I975" s="25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1.25" customHeight="1">
      <c r="A976" s="18"/>
      <c r="B976" s="18"/>
      <c r="C976" s="18"/>
      <c r="D976" s="18"/>
      <c r="E976" s="18"/>
      <c r="F976" s="18"/>
      <c r="G976" s="24"/>
      <c r="H976" s="24"/>
      <c r="I976" s="25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1.25" customHeight="1">
      <c r="A977" s="18"/>
      <c r="B977" s="18"/>
      <c r="C977" s="18"/>
      <c r="D977" s="18"/>
      <c r="E977" s="18"/>
      <c r="F977" s="18"/>
      <c r="G977" s="24"/>
      <c r="H977" s="24"/>
      <c r="I977" s="25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1.25" customHeight="1">
      <c r="A978" s="18"/>
      <c r="B978" s="18"/>
      <c r="C978" s="18"/>
      <c r="D978" s="18"/>
      <c r="E978" s="18"/>
      <c r="F978" s="18"/>
      <c r="G978" s="24"/>
      <c r="H978" s="24"/>
      <c r="I978" s="25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1.25" customHeight="1">
      <c r="A979" s="18"/>
      <c r="B979" s="18"/>
      <c r="C979" s="18"/>
      <c r="D979" s="18"/>
      <c r="E979" s="18"/>
      <c r="F979" s="18"/>
      <c r="G979" s="24"/>
      <c r="H979" s="24"/>
      <c r="I979" s="25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1.25" customHeight="1">
      <c r="A980" s="18"/>
      <c r="B980" s="18"/>
      <c r="C980" s="18"/>
      <c r="D980" s="18"/>
      <c r="E980" s="18"/>
      <c r="F980" s="18"/>
      <c r="G980" s="24"/>
      <c r="H980" s="24"/>
      <c r="I980" s="25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1.25" customHeight="1">
      <c r="A981" s="18"/>
      <c r="B981" s="18"/>
      <c r="C981" s="18"/>
      <c r="D981" s="18"/>
      <c r="E981" s="18"/>
      <c r="F981" s="18"/>
      <c r="G981" s="24"/>
      <c r="H981" s="24"/>
      <c r="I981" s="25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1.25" customHeight="1">
      <c r="A982" s="18"/>
      <c r="B982" s="18"/>
      <c r="C982" s="18"/>
      <c r="D982" s="18"/>
      <c r="E982" s="18"/>
      <c r="F982" s="18"/>
      <c r="G982" s="24"/>
      <c r="H982" s="24"/>
      <c r="I982" s="25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1.25" customHeight="1">
      <c r="A983" s="18"/>
      <c r="B983" s="18"/>
      <c r="C983" s="18"/>
      <c r="D983" s="18"/>
      <c r="E983" s="18"/>
      <c r="F983" s="18"/>
      <c r="G983" s="24"/>
      <c r="H983" s="24"/>
      <c r="I983" s="25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1.25" customHeight="1">
      <c r="A984" s="18"/>
      <c r="B984" s="18"/>
      <c r="C984" s="18"/>
      <c r="D984" s="18"/>
      <c r="E984" s="18"/>
      <c r="F984" s="18"/>
      <c r="G984" s="24"/>
      <c r="H984" s="24"/>
      <c r="I984" s="25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1.25" customHeight="1">
      <c r="A985" s="18"/>
      <c r="B985" s="18"/>
      <c r="C985" s="18"/>
      <c r="D985" s="18"/>
      <c r="E985" s="18"/>
      <c r="F985" s="18"/>
      <c r="G985" s="24"/>
      <c r="H985" s="24"/>
      <c r="I985" s="25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1.25" customHeight="1">
      <c r="A986" s="18"/>
      <c r="B986" s="18"/>
      <c r="C986" s="18"/>
      <c r="D986" s="18"/>
      <c r="E986" s="18"/>
      <c r="F986" s="18"/>
      <c r="G986" s="24"/>
      <c r="H986" s="24"/>
      <c r="I986" s="25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1.25" customHeight="1">
      <c r="A987" s="18"/>
      <c r="B987" s="18"/>
      <c r="C987" s="18"/>
      <c r="D987" s="18"/>
      <c r="E987" s="18"/>
      <c r="F987" s="18"/>
      <c r="G987" s="24"/>
      <c r="H987" s="24"/>
      <c r="I987" s="25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1.25" customHeight="1">
      <c r="A988" s="18"/>
      <c r="B988" s="18"/>
      <c r="C988" s="18"/>
      <c r="D988" s="18"/>
      <c r="E988" s="18"/>
      <c r="F988" s="18"/>
      <c r="G988" s="24"/>
      <c r="H988" s="24"/>
      <c r="I988" s="25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1.25" customHeight="1">
      <c r="A989" s="18"/>
      <c r="B989" s="18"/>
      <c r="C989" s="18"/>
      <c r="D989" s="18"/>
      <c r="E989" s="18"/>
      <c r="F989" s="18"/>
      <c r="G989" s="24"/>
      <c r="H989" s="24"/>
      <c r="I989" s="25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1.25" customHeight="1">
      <c r="A990" s="18"/>
      <c r="B990" s="18"/>
      <c r="C990" s="18"/>
      <c r="D990" s="18"/>
      <c r="E990" s="18"/>
      <c r="F990" s="18"/>
      <c r="G990" s="24"/>
      <c r="H990" s="24"/>
      <c r="I990" s="25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1.25" customHeight="1">
      <c r="A991" s="18"/>
      <c r="B991" s="18"/>
      <c r="C991" s="18"/>
      <c r="D991" s="18"/>
      <c r="E991" s="18"/>
      <c r="F991" s="18"/>
      <c r="G991" s="24"/>
      <c r="H991" s="24"/>
      <c r="I991" s="25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1.25" customHeight="1">
      <c r="A992" s="18"/>
      <c r="B992" s="18"/>
      <c r="C992" s="18"/>
      <c r="D992" s="18"/>
      <c r="E992" s="18"/>
      <c r="F992" s="18"/>
      <c r="G992" s="24"/>
      <c r="H992" s="24"/>
      <c r="I992" s="25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1.25" customHeight="1">
      <c r="A993" s="18"/>
      <c r="B993" s="18"/>
      <c r="C993" s="18"/>
      <c r="D993" s="18"/>
      <c r="E993" s="18"/>
      <c r="F993" s="18"/>
      <c r="G993" s="24"/>
      <c r="H993" s="24"/>
      <c r="I993" s="25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1.25" customHeight="1">
      <c r="A994" s="18"/>
      <c r="B994" s="18"/>
      <c r="C994" s="18"/>
      <c r="D994" s="18"/>
      <c r="E994" s="18"/>
      <c r="F994" s="18"/>
      <c r="G994" s="24"/>
      <c r="H994" s="24"/>
      <c r="I994" s="25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1.25" customHeight="1">
      <c r="A995" s="18"/>
      <c r="B995" s="18"/>
      <c r="C995" s="18"/>
      <c r="D995" s="18"/>
      <c r="E995" s="18"/>
      <c r="F995" s="18"/>
      <c r="G995" s="24"/>
      <c r="H995" s="24"/>
      <c r="I995" s="25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1.25" customHeight="1">
      <c r="A996" s="18"/>
      <c r="B996" s="18"/>
      <c r="C996" s="18"/>
      <c r="D996" s="18"/>
      <c r="E996" s="18"/>
      <c r="F996" s="18"/>
      <c r="G996" s="24"/>
      <c r="H996" s="24"/>
      <c r="I996" s="25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1.25" customHeight="1">
      <c r="A997" s="18"/>
      <c r="B997" s="18"/>
      <c r="C997" s="18"/>
      <c r="D997" s="18"/>
      <c r="E997" s="18"/>
      <c r="F997" s="18"/>
      <c r="G997" s="24"/>
      <c r="H997" s="24"/>
      <c r="I997" s="25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1.25" customHeight="1">
      <c r="A998" s="18"/>
      <c r="B998" s="18"/>
      <c r="C998" s="18"/>
      <c r="D998" s="18"/>
      <c r="E998" s="18"/>
      <c r="F998" s="18"/>
      <c r="G998" s="24"/>
      <c r="H998" s="24"/>
      <c r="I998" s="25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1.25" customHeight="1">
      <c r="A999" s="18"/>
      <c r="B999" s="18"/>
      <c r="C999" s="18"/>
      <c r="D999" s="18"/>
      <c r="E999" s="18"/>
      <c r="F999" s="18"/>
      <c r="G999" s="24"/>
      <c r="H999" s="24"/>
      <c r="I999" s="25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1.25" customHeight="1">
      <c r="A1000" s="18"/>
      <c r="B1000" s="18"/>
      <c r="C1000" s="18"/>
      <c r="D1000" s="18"/>
      <c r="E1000" s="18"/>
      <c r="F1000" s="18"/>
      <c r="G1000" s="24"/>
      <c r="H1000" s="24"/>
      <c r="I1000" s="25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4">
    <mergeCell ref="B1:I1"/>
    <mergeCell ref="B2:I2"/>
    <mergeCell ref="B3:I3"/>
    <mergeCell ref="B4:I4"/>
  </mergeCells>
  <pageMargins left="0.62992125984251968" right="0.23622047244094491" top="0.74803149606299213" bottom="0.74803149606299213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4C6E7"/>
  </sheetPr>
  <dimension ref="A1:Z1000"/>
  <sheetViews>
    <sheetView workbookViewId="0">
      <selection activeCell="K61" sqref="K61"/>
    </sheetView>
  </sheetViews>
  <sheetFormatPr baseColWidth="10" defaultColWidth="14.42578125" defaultRowHeight="15" customHeight="1"/>
  <cols>
    <col min="1" max="1" width="1.85546875" customWidth="1"/>
    <col min="2" max="2" width="9.140625" customWidth="1"/>
    <col min="3" max="3" width="11.7109375" customWidth="1"/>
    <col min="4" max="4" width="13.140625" customWidth="1"/>
    <col min="5" max="5" width="11.85546875" customWidth="1"/>
    <col min="6" max="6" width="12.42578125" customWidth="1"/>
    <col min="7" max="7" width="13.28515625" customWidth="1"/>
    <col min="8" max="8" width="12.7109375" customWidth="1"/>
    <col min="9" max="26" width="10.7109375" customWidth="1"/>
  </cols>
  <sheetData>
    <row r="1" spans="1:26" ht="11.25" customHeight="1">
      <c r="A1" s="50"/>
      <c r="B1" s="50"/>
      <c r="C1" s="50"/>
      <c r="D1" s="50"/>
      <c r="E1" s="50"/>
      <c r="F1" s="50"/>
      <c r="G1" s="13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spans="1:26" ht="11.25" customHeight="1">
      <c r="A2" s="50"/>
      <c r="B2" s="264" t="s">
        <v>536</v>
      </c>
      <c r="C2" s="250"/>
      <c r="D2" s="250"/>
      <c r="E2" s="250"/>
      <c r="F2" s="250"/>
      <c r="G2" s="251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spans="1:26" ht="9.75" customHeight="1">
      <c r="A3" s="50"/>
      <c r="B3" s="252" t="s">
        <v>537</v>
      </c>
      <c r="C3" s="250"/>
      <c r="D3" s="250"/>
      <c r="E3" s="250"/>
      <c r="F3" s="250"/>
      <c r="G3" s="251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spans="1:26" ht="10.5" customHeight="1">
      <c r="A4" s="50"/>
      <c r="B4" s="51" t="s">
        <v>538</v>
      </c>
      <c r="C4" s="51"/>
      <c r="D4" s="51"/>
      <c r="E4" s="51"/>
      <c r="F4" s="51"/>
      <c r="G4" s="51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spans="1:26" ht="10.5" customHeight="1">
      <c r="A5" s="50"/>
      <c r="B5" s="265" t="s">
        <v>539</v>
      </c>
      <c r="C5" s="250"/>
      <c r="D5" s="250"/>
      <c r="E5" s="250"/>
      <c r="F5" s="250"/>
      <c r="G5" s="251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spans="1:26" ht="11.25" customHeight="1">
      <c r="A6" s="50"/>
      <c r="B6" s="50"/>
      <c r="C6" s="50"/>
      <c r="D6" s="50"/>
      <c r="E6" s="50"/>
      <c r="F6" s="50"/>
      <c r="G6" s="13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spans="1:26" ht="22.5" customHeight="1">
      <c r="A7" s="50"/>
      <c r="B7" s="52"/>
      <c r="C7" s="50"/>
      <c r="D7" s="266" t="s">
        <v>540</v>
      </c>
      <c r="E7" s="251"/>
      <c r="F7" s="267" t="s">
        <v>541</v>
      </c>
      <c r="G7" s="251"/>
      <c r="H7" s="13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spans="1:26" ht="11.25" customHeight="1">
      <c r="A8" s="50"/>
      <c r="B8" s="254" t="s">
        <v>542</v>
      </c>
      <c r="C8" s="255"/>
      <c r="D8" s="53" t="s">
        <v>543</v>
      </c>
      <c r="E8" s="54" t="s">
        <v>544</v>
      </c>
      <c r="F8" s="53" t="s">
        <v>543</v>
      </c>
      <c r="G8" s="54" t="s">
        <v>544</v>
      </c>
      <c r="H8" s="55" t="s">
        <v>545</v>
      </c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spans="1:26" ht="11.25" customHeight="1">
      <c r="A9" s="50"/>
      <c r="B9" s="56"/>
      <c r="C9" s="50"/>
      <c r="D9" s="57"/>
      <c r="E9" s="58"/>
      <c r="F9" s="57"/>
      <c r="G9" s="58"/>
      <c r="H9" s="59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spans="1:26" ht="12.75" customHeight="1">
      <c r="A10" s="50"/>
      <c r="B10" s="256" t="s">
        <v>546</v>
      </c>
      <c r="C10" s="251"/>
      <c r="D10" s="60">
        <v>82479471.844520852</v>
      </c>
      <c r="E10" s="61">
        <f>+D10/D12*100</f>
        <v>94.901730929342648</v>
      </c>
      <c r="F10" s="60">
        <v>46791822.341864161</v>
      </c>
      <c r="G10" s="61">
        <f>+F10/F12*100</f>
        <v>100</v>
      </c>
      <c r="H10" s="62">
        <f t="shared" ref="H10:H11" si="0">+D10+F10</f>
        <v>129271294.18638501</v>
      </c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spans="1:26" ht="12.75" customHeight="1">
      <c r="A11" s="50"/>
      <c r="B11" s="256" t="s">
        <v>547</v>
      </c>
      <c r="C11" s="251"/>
      <c r="D11" s="60">
        <v>4430925.92886585</v>
      </c>
      <c r="E11" s="61">
        <f>+D11/D12*100</f>
        <v>5.0982690706573521</v>
      </c>
      <c r="F11" s="60">
        <v>0</v>
      </c>
      <c r="G11" s="61">
        <f>+F11/F12*100</f>
        <v>0</v>
      </c>
      <c r="H11" s="62">
        <f t="shared" si="0"/>
        <v>4430925.92886585</v>
      </c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spans="1:26" ht="18.75" customHeight="1">
      <c r="A12" s="13"/>
      <c r="B12" s="260" t="s">
        <v>152</v>
      </c>
      <c r="C12" s="251"/>
      <c r="D12" s="63">
        <f t="shared" ref="D12:H12" si="1">SUM(D10:D11)</f>
        <v>86910397.773386702</v>
      </c>
      <c r="E12" s="64">
        <f t="shared" si="1"/>
        <v>100</v>
      </c>
      <c r="F12" s="63">
        <f t="shared" si="1"/>
        <v>46791822.341864161</v>
      </c>
      <c r="G12" s="65">
        <f t="shared" si="1"/>
        <v>100</v>
      </c>
      <c r="H12" s="66">
        <f t="shared" si="1"/>
        <v>133702220.11525086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4.5" customHeight="1">
      <c r="A13" s="50"/>
      <c r="B13" s="67"/>
      <c r="C13" s="68"/>
      <c r="D13" s="69"/>
      <c r="E13" s="70"/>
      <c r="F13" s="71"/>
      <c r="G13" s="72"/>
      <c r="H13" s="73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spans="1:26" ht="18.75" customHeight="1">
      <c r="A14" s="13"/>
      <c r="B14" s="261" t="s">
        <v>548</v>
      </c>
      <c r="C14" s="262"/>
      <c r="D14" s="74">
        <f>+D12/H12*100</f>
        <v>65.002957840543147</v>
      </c>
      <c r="E14" s="75"/>
      <c r="F14" s="74">
        <f>+F12/H12*100</f>
        <v>34.997042159456868</v>
      </c>
      <c r="G14" s="76"/>
      <c r="H14" s="77">
        <f>+D14+F14</f>
        <v>100.00000000000001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3.75" customHeight="1">
      <c r="A15" s="50"/>
      <c r="B15" s="50"/>
      <c r="C15" s="50"/>
      <c r="D15" s="50"/>
      <c r="E15" s="50"/>
      <c r="F15" s="50"/>
      <c r="G15" s="13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spans="1:26" ht="11.25" customHeight="1">
      <c r="A16" s="50"/>
      <c r="B16" s="78" t="s">
        <v>66</v>
      </c>
      <c r="C16" s="50"/>
      <c r="D16" s="50"/>
      <c r="E16" s="50"/>
      <c r="F16" s="50"/>
      <c r="G16" s="13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spans="1:26" ht="11.25" customHeight="1">
      <c r="A17" s="50"/>
      <c r="B17" s="78" t="s">
        <v>549</v>
      </c>
      <c r="C17" s="50"/>
      <c r="D17" s="50"/>
      <c r="E17" s="50"/>
      <c r="F17" s="50"/>
      <c r="G17" s="13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spans="1:26" ht="11.25" customHeight="1">
      <c r="A18" s="50"/>
      <c r="B18" s="50"/>
      <c r="C18" s="50"/>
      <c r="D18" s="50"/>
      <c r="E18" s="50"/>
      <c r="F18" s="50"/>
      <c r="G18" s="13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spans="1:26" ht="11.25" customHeight="1">
      <c r="A19" s="50"/>
      <c r="B19" s="50"/>
      <c r="C19" s="50"/>
      <c r="D19" s="50"/>
      <c r="E19" s="50"/>
      <c r="F19" s="50"/>
      <c r="G19" s="13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spans="1:26" ht="11.25" customHeight="1">
      <c r="A20" s="50"/>
      <c r="B20" s="50"/>
      <c r="C20" s="50"/>
      <c r="D20" s="50"/>
      <c r="E20" s="50"/>
      <c r="F20" s="50"/>
      <c r="G20" s="13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spans="1:26" ht="11.25" customHeight="1">
      <c r="A21" s="50"/>
      <c r="B21" s="263" t="s">
        <v>550</v>
      </c>
      <c r="C21" s="250"/>
      <c r="D21" s="250"/>
      <c r="E21" s="250"/>
      <c r="F21" s="250"/>
      <c r="G21" s="251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spans="1:26" ht="11.25" customHeight="1">
      <c r="A22" s="50"/>
      <c r="B22" s="263" t="s">
        <v>551</v>
      </c>
      <c r="C22" s="250"/>
      <c r="D22" s="250"/>
      <c r="E22" s="250"/>
      <c r="F22" s="250"/>
      <c r="G22" s="251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spans="1:26" ht="11.25" customHeight="1">
      <c r="A23" s="50"/>
      <c r="B23" s="50"/>
      <c r="C23" s="50"/>
      <c r="D23" s="50"/>
      <c r="E23" s="50"/>
      <c r="F23" s="50"/>
      <c r="G23" s="13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spans="1:26" ht="11.25" customHeight="1">
      <c r="A24" s="50"/>
      <c r="B24" s="50"/>
      <c r="C24" s="50"/>
      <c r="D24" s="50"/>
      <c r="E24" s="50"/>
      <c r="F24" s="50"/>
      <c r="G24" s="13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spans="1:26" ht="11.25" customHeight="1">
      <c r="A25" s="50"/>
      <c r="B25" s="50"/>
      <c r="C25" s="50"/>
      <c r="D25" s="50"/>
      <c r="E25" s="50"/>
      <c r="F25" s="50"/>
      <c r="G25" s="13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spans="1:26" ht="11.25" customHeight="1">
      <c r="A26" s="50"/>
      <c r="B26" s="50"/>
      <c r="C26" s="50"/>
      <c r="D26" s="50"/>
      <c r="E26" s="50"/>
      <c r="F26" s="50"/>
      <c r="G26" s="13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spans="1:26" ht="11.25" customHeight="1">
      <c r="A27" s="50"/>
      <c r="B27" s="50"/>
      <c r="C27" s="50"/>
      <c r="D27" s="50"/>
      <c r="E27" s="50"/>
      <c r="F27" s="50"/>
      <c r="G27" s="13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spans="1:26" ht="11.25" customHeight="1">
      <c r="A28" s="50"/>
      <c r="B28" s="50"/>
      <c r="C28" s="50"/>
      <c r="D28" s="50"/>
      <c r="E28" s="50"/>
      <c r="F28" s="50"/>
      <c r="G28" s="13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spans="1:26" ht="11.25" customHeight="1">
      <c r="A29" s="50"/>
      <c r="B29" s="50"/>
      <c r="C29" s="50"/>
      <c r="D29" s="50"/>
      <c r="E29" s="50"/>
      <c r="F29" s="50"/>
      <c r="G29" s="13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spans="1:26" ht="11.25" customHeight="1">
      <c r="A30" s="50"/>
      <c r="B30" s="50"/>
      <c r="C30" s="50"/>
      <c r="D30" s="50"/>
      <c r="E30" s="50"/>
      <c r="F30" s="50"/>
      <c r="G30" s="13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spans="1:26" ht="11.25" customHeight="1">
      <c r="A31" s="50"/>
      <c r="B31" s="50"/>
      <c r="C31" s="50"/>
      <c r="D31" s="50"/>
      <c r="E31" s="50"/>
      <c r="F31" s="50"/>
      <c r="G31" s="13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spans="1:26" ht="11.25" customHeight="1">
      <c r="A32" s="50"/>
      <c r="B32" s="50"/>
      <c r="C32" s="50"/>
      <c r="D32" s="50"/>
      <c r="E32" s="50"/>
      <c r="F32" s="50"/>
      <c r="G32" s="13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spans="1:26" ht="11.25" customHeight="1">
      <c r="A33" s="50"/>
      <c r="B33" s="50"/>
      <c r="C33" s="50"/>
      <c r="D33" s="50"/>
      <c r="E33" s="50"/>
      <c r="F33" s="50"/>
      <c r="G33" s="13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spans="1:26" ht="11.25" customHeight="1">
      <c r="A34" s="50"/>
      <c r="B34" s="50"/>
      <c r="C34" s="50"/>
      <c r="D34" s="50"/>
      <c r="E34" s="50"/>
      <c r="F34" s="50"/>
      <c r="G34" s="13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spans="1:26" ht="11.25" customHeight="1">
      <c r="A35" s="50"/>
      <c r="B35" s="50"/>
      <c r="C35" s="50"/>
      <c r="D35" s="50"/>
      <c r="E35" s="50"/>
      <c r="F35" s="50"/>
      <c r="G35" s="13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spans="1:26" ht="11.25" customHeight="1">
      <c r="A36" s="50"/>
      <c r="B36" s="50"/>
      <c r="C36" s="50"/>
      <c r="D36" s="50"/>
      <c r="E36" s="50"/>
      <c r="F36" s="50"/>
      <c r="G36" s="13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spans="1:26" ht="11.25" customHeight="1">
      <c r="A37" s="50"/>
      <c r="B37" s="50"/>
      <c r="C37" s="50"/>
      <c r="D37" s="50"/>
      <c r="E37" s="50"/>
      <c r="F37" s="50"/>
      <c r="G37" s="13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spans="1:26" ht="11.25" customHeight="1">
      <c r="A38" s="50"/>
      <c r="B38" s="50"/>
      <c r="C38" s="50"/>
      <c r="D38" s="50"/>
      <c r="E38" s="50"/>
      <c r="F38" s="50"/>
      <c r="G38" s="13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spans="1:26" ht="11.25" customHeight="1">
      <c r="A39" s="50"/>
      <c r="B39" s="50"/>
      <c r="C39" s="50"/>
      <c r="D39" s="50"/>
      <c r="E39" s="50"/>
      <c r="F39" s="50"/>
      <c r="G39" s="13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spans="1:26" ht="11.25" customHeight="1">
      <c r="A40" s="50"/>
      <c r="B40" s="50"/>
      <c r="C40" s="50"/>
      <c r="D40" s="50"/>
      <c r="E40" s="50"/>
      <c r="F40" s="50"/>
      <c r="G40" s="13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spans="1:26" ht="11.25" customHeight="1">
      <c r="A41" s="50"/>
      <c r="B41" s="50"/>
      <c r="C41" s="50"/>
      <c r="D41" s="50"/>
      <c r="E41" s="50"/>
      <c r="F41" s="50"/>
      <c r="G41" s="13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spans="1:26" ht="11.25" customHeight="1">
      <c r="A42" s="50"/>
      <c r="B42" s="50"/>
      <c r="C42" s="50"/>
      <c r="D42" s="50"/>
      <c r="E42" s="50"/>
      <c r="F42" s="50"/>
      <c r="G42" s="13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spans="1:26" ht="11.25" customHeight="1">
      <c r="A43" s="50"/>
      <c r="B43" s="50"/>
      <c r="C43" s="50"/>
      <c r="D43" s="50"/>
      <c r="E43" s="50"/>
      <c r="F43" s="50"/>
      <c r="G43" s="13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spans="1:26" ht="11.25" customHeight="1">
      <c r="A44" s="50"/>
      <c r="B44" s="50"/>
      <c r="C44" s="50"/>
      <c r="D44" s="50"/>
      <c r="E44" s="50"/>
      <c r="F44" s="50"/>
      <c r="G44" s="13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spans="1:26" ht="11.25" customHeight="1">
      <c r="A45" s="50"/>
      <c r="B45" s="50"/>
      <c r="C45" s="50"/>
      <c r="D45" s="50"/>
      <c r="E45" s="50"/>
      <c r="F45" s="50"/>
      <c r="G45" s="13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spans="1:26" ht="11.25" customHeight="1">
      <c r="A46" s="50"/>
      <c r="B46" s="50"/>
      <c r="C46" s="50"/>
      <c r="D46" s="50"/>
      <c r="E46" s="50"/>
      <c r="F46" s="50"/>
      <c r="G46" s="13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spans="1:26" ht="11.25" customHeight="1">
      <c r="A47" s="50"/>
      <c r="B47" s="50"/>
      <c r="C47" s="50"/>
      <c r="D47" s="50"/>
      <c r="E47" s="50"/>
      <c r="F47" s="50"/>
      <c r="G47" s="13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spans="1:26" ht="11.25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spans="1:26" ht="11.25" customHeight="1">
      <c r="A49" s="50"/>
      <c r="B49" s="257" t="s">
        <v>552</v>
      </c>
      <c r="C49" s="250"/>
      <c r="D49" s="250"/>
      <c r="E49" s="250"/>
      <c r="F49" s="250"/>
      <c r="G49" s="250"/>
      <c r="H49" s="251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spans="1:26" ht="11.25" customHeight="1">
      <c r="A50" s="50"/>
      <c r="B50" s="257" t="s">
        <v>553</v>
      </c>
      <c r="C50" s="250"/>
      <c r="D50" s="250"/>
      <c r="E50" s="250"/>
      <c r="F50" s="250"/>
      <c r="G50" s="250"/>
      <c r="H50" s="251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spans="1:26" ht="11.25" customHeight="1">
      <c r="A51" s="50"/>
      <c r="B51" s="257" t="s">
        <v>539</v>
      </c>
      <c r="C51" s="250"/>
      <c r="D51" s="250"/>
      <c r="E51" s="250"/>
      <c r="F51" s="250"/>
      <c r="G51" s="250"/>
      <c r="H51" s="251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spans="1:26" ht="11.25" customHeight="1">
      <c r="A52" s="50"/>
      <c r="B52" s="79"/>
      <c r="C52" s="79"/>
      <c r="D52" s="79"/>
      <c r="E52" s="79"/>
      <c r="F52" s="79"/>
      <c r="G52" s="79"/>
      <c r="H52" s="79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spans="1:26" ht="21" customHeight="1">
      <c r="A53" s="50"/>
      <c r="B53" s="13"/>
      <c r="C53" s="258" t="s">
        <v>59</v>
      </c>
      <c r="D53" s="259"/>
      <c r="E53" s="258" t="s">
        <v>61</v>
      </c>
      <c r="F53" s="259"/>
      <c r="G53" s="258" t="s">
        <v>535</v>
      </c>
      <c r="H53" s="259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spans="1:26" ht="17.25" customHeight="1">
      <c r="A54" s="50"/>
      <c r="B54" s="50"/>
      <c r="C54" s="80">
        <v>2023</v>
      </c>
      <c r="D54" s="81">
        <v>2024</v>
      </c>
      <c r="E54" s="80">
        <v>2023</v>
      </c>
      <c r="F54" s="81">
        <v>2024</v>
      </c>
      <c r="G54" s="80">
        <v>2023</v>
      </c>
      <c r="H54" s="81">
        <v>2024</v>
      </c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spans="1:26" ht="16.5" customHeight="1">
      <c r="A55" s="50"/>
      <c r="B55" s="79" t="s">
        <v>546</v>
      </c>
      <c r="C55" s="82">
        <v>70928142.22097148</v>
      </c>
      <c r="D55" s="83">
        <f t="shared" ref="D55:D56" si="2">D10</f>
        <v>82479471.844520852</v>
      </c>
      <c r="E55" s="84">
        <v>35016060.827669844</v>
      </c>
      <c r="F55" s="83">
        <f t="shared" ref="F55:F56" si="3">F10</f>
        <v>46791822.341864161</v>
      </c>
      <c r="G55" s="84">
        <f t="shared" ref="G55:H55" si="4">C55+E55</f>
        <v>105944203.04864132</v>
      </c>
      <c r="H55" s="85">
        <f t="shared" si="4"/>
        <v>129271294.18638501</v>
      </c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spans="1:26" ht="16.5" customHeight="1">
      <c r="A56" s="50"/>
      <c r="B56" s="79" t="s">
        <v>554</v>
      </c>
      <c r="C56" s="82">
        <v>4504706.1819148194</v>
      </c>
      <c r="D56" s="83">
        <f t="shared" si="2"/>
        <v>4430925.92886585</v>
      </c>
      <c r="E56" s="84">
        <v>0</v>
      </c>
      <c r="F56" s="83">
        <f t="shared" si="3"/>
        <v>0</v>
      </c>
      <c r="G56" s="84">
        <f t="shared" ref="G56:H56" si="5">C56+E56</f>
        <v>4504706.1819148194</v>
      </c>
      <c r="H56" s="85">
        <f t="shared" si="5"/>
        <v>4430925.92886585</v>
      </c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spans="1:26" ht="6" customHeight="1">
      <c r="A57" s="50"/>
      <c r="B57" s="79"/>
      <c r="C57" s="82"/>
      <c r="D57" s="83"/>
      <c r="E57" s="84"/>
      <c r="F57" s="83"/>
      <c r="G57" s="84"/>
      <c r="H57" s="85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spans="1:26" ht="27.75" customHeight="1">
      <c r="A58" s="86"/>
      <c r="B58" s="87" t="s">
        <v>535</v>
      </c>
      <c r="C58" s="88">
        <f t="shared" ref="C58:H58" si="6">SUM(C55:C56)</f>
        <v>75432848.402886301</v>
      </c>
      <c r="D58" s="89">
        <f t="shared" si="6"/>
        <v>86910397.773386702</v>
      </c>
      <c r="E58" s="90">
        <f t="shared" si="6"/>
        <v>35016060.827669844</v>
      </c>
      <c r="F58" s="89">
        <f t="shared" si="6"/>
        <v>46791822.341864161</v>
      </c>
      <c r="G58" s="90">
        <f t="shared" si="6"/>
        <v>110448909.23055615</v>
      </c>
      <c r="H58" s="89">
        <f t="shared" si="6"/>
        <v>133702220.11525086</v>
      </c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 spans="1:26" ht="11.25" customHeight="1">
      <c r="A59" s="50"/>
      <c r="B59" s="50"/>
      <c r="C59" s="78" t="s">
        <v>66</v>
      </c>
      <c r="D59" s="50"/>
      <c r="E59" s="50"/>
      <c r="F59" s="50"/>
      <c r="G59" s="13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spans="1:26" ht="11.25" customHeight="1">
      <c r="A60" s="50"/>
      <c r="B60" s="50"/>
      <c r="C60" s="50"/>
      <c r="D60" s="50"/>
      <c r="E60" s="50"/>
      <c r="F60" s="50"/>
      <c r="G60" s="13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spans="1:26" ht="11.25" customHeight="1">
      <c r="A61" s="50"/>
      <c r="B61" s="50"/>
      <c r="C61" s="50"/>
      <c r="D61" s="50"/>
      <c r="E61" s="50"/>
      <c r="F61" s="50"/>
      <c r="G61" s="13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spans="1:26" ht="11.25" customHeight="1">
      <c r="A62" s="50"/>
      <c r="B62" s="50"/>
      <c r="C62" s="50"/>
      <c r="D62" s="50"/>
      <c r="E62" s="50"/>
      <c r="F62" s="50"/>
      <c r="G62" s="13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spans="1:26" ht="11.25" customHeight="1">
      <c r="A63" s="50"/>
      <c r="B63" s="50"/>
      <c r="C63" s="50"/>
      <c r="D63" s="50"/>
      <c r="E63" s="50"/>
      <c r="F63" s="50"/>
      <c r="G63" s="13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spans="1:26" ht="11.25" customHeight="1">
      <c r="A64" s="50"/>
      <c r="B64" s="50"/>
      <c r="C64" s="50"/>
      <c r="D64" s="50"/>
      <c r="E64" s="50"/>
      <c r="F64" s="50"/>
      <c r="G64" s="13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spans="1:26" ht="11.25" customHeight="1">
      <c r="A65" s="50"/>
      <c r="B65" s="50"/>
      <c r="C65" s="50"/>
      <c r="D65" s="50"/>
      <c r="E65" s="50"/>
      <c r="F65" s="50"/>
      <c r="G65" s="13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spans="1:26" ht="11.25" customHeight="1">
      <c r="A66" s="50"/>
      <c r="B66" s="50"/>
      <c r="C66" s="50"/>
      <c r="D66" s="50"/>
      <c r="E66" s="50"/>
      <c r="F66" s="50"/>
      <c r="G66" s="13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spans="1:26" ht="11.25" customHeight="1">
      <c r="A67" s="50"/>
      <c r="B67" s="50"/>
      <c r="C67" s="50"/>
      <c r="D67" s="50"/>
      <c r="E67" s="50"/>
      <c r="F67" s="50"/>
      <c r="G67" s="13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spans="1:26" ht="11.25" customHeight="1">
      <c r="A68" s="50"/>
      <c r="B68" s="50"/>
      <c r="C68" s="50"/>
      <c r="D68" s="50"/>
      <c r="E68" s="50"/>
      <c r="F68" s="50"/>
      <c r="G68" s="13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spans="1:26" ht="11.25" customHeight="1">
      <c r="A69" s="50"/>
      <c r="B69" s="50"/>
      <c r="C69" s="50"/>
      <c r="D69" s="50"/>
      <c r="E69" s="50"/>
      <c r="F69" s="50"/>
      <c r="G69" s="13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spans="1:26" ht="11.25" customHeight="1">
      <c r="A70" s="50"/>
      <c r="B70" s="50"/>
      <c r="C70" s="50"/>
      <c r="D70" s="50"/>
      <c r="E70" s="50"/>
      <c r="F70" s="50"/>
      <c r="G70" s="13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spans="1:26" ht="14.25" customHeight="1">
      <c r="A71" s="50"/>
      <c r="B71" s="50"/>
      <c r="C71" s="13"/>
      <c r="D71" s="91" t="s">
        <v>59</v>
      </c>
      <c r="E71" s="92" t="s">
        <v>61</v>
      </c>
      <c r="F71" s="50"/>
      <c r="G71" s="13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spans="1:26" ht="11.25" customHeight="1">
      <c r="A72" s="50"/>
      <c r="B72" s="50"/>
      <c r="C72" s="93" t="s">
        <v>546</v>
      </c>
      <c r="D72" s="94">
        <f t="shared" ref="D72:D73" si="7">+D10</f>
        <v>82479471.844520852</v>
      </c>
      <c r="E72" s="94">
        <f t="shared" ref="E72:E73" si="8">+F10</f>
        <v>46791822.341864161</v>
      </c>
      <c r="F72" s="50"/>
      <c r="G72" s="13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spans="1:26" ht="11.25" customHeight="1">
      <c r="A73" s="50"/>
      <c r="B73" s="50"/>
      <c r="C73" s="93" t="s">
        <v>554</v>
      </c>
      <c r="D73" s="94">
        <f t="shared" si="7"/>
        <v>4430925.92886585</v>
      </c>
      <c r="E73" s="94">
        <f t="shared" si="8"/>
        <v>0</v>
      </c>
      <c r="F73" s="50"/>
      <c r="G73" s="13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spans="1:26" ht="11.25" customHeight="1">
      <c r="A74" s="50"/>
      <c r="B74" s="50"/>
      <c r="C74" s="50"/>
      <c r="D74" s="50"/>
      <c r="E74" s="50"/>
      <c r="F74" s="50"/>
      <c r="G74" s="13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spans="1:26" ht="11.25" customHeight="1">
      <c r="A75" s="50"/>
      <c r="B75" s="50"/>
      <c r="C75" s="50"/>
      <c r="D75" s="50"/>
      <c r="E75" s="50"/>
      <c r="F75" s="50"/>
      <c r="G75" s="13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spans="1:26" ht="11.25" customHeight="1">
      <c r="A76" s="50"/>
      <c r="B76" s="50"/>
      <c r="C76" s="50"/>
      <c r="D76" s="50"/>
      <c r="E76" s="50"/>
      <c r="F76" s="50"/>
      <c r="G76" s="13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spans="1:26" ht="11.25" customHeight="1">
      <c r="A77" s="50"/>
      <c r="B77" s="50"/>
      <c r="C77" s="50"/>
      <c r="D77" s="50"/>
      <c r="E77" s="50"/>
      <c r="F77" s="50"/>
      <c r="G77" s="13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spans="1:26" ht="11.25" customHeight="1">
      <c r="A78" s="50"/>
      <c r="B78" s="50"/>
      <c r="C78" s="50"/>
      <c r="D78" s="50"/>
      <c r="E78" s="50"/>
      <c r="F78" s="50"/>
      <c r="G78" s="13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spans="1:26" ht="11.25" customHeight="1">
      <c r="A79" s="50"/>
      <c r="B79" s="50"/>
      <c r="C79" s="50"/>
      <c r="D79" s="50"/>
      <c r="E79" s="50"/>
      <c r="F79" s="50"/>
      <c r="G79" s="13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spans="1:26" ht="11.25" customHeight="1">
      <c r="A80" s="50"/>
      <c r="B80" s="50"/>
      <c r="C80" s="50"/>
      <c r="D80" s="50"/>
      <c r="E80" s="50"/>
      <c r="F80" s="50"/>
      <c r="G80" s="13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spans="1:26" ht="11.25" customHeight="1">
      <c r="A81" s="50"/>
      <c r="B81" s="50"/>
      <c r="C81" s="50"/>
      <c r="D81" s="50"/>
      <c r="E81" s="50"/>
      <c r="F81" s="50"/>
      <c r="G81" s="13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spans="1:26" ht="11.25" customHeight="1">
      <c r="A82" s="50"/>
      <c r="B82" s="50"/>
      <c r="C82" s="50"/>
      <c r="D82" s="50"/>
      <c r="E82" s="50"/>
      <c r="F82" s="50"/>
      <c r="G82" s="13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spans="1:26" ht="11.25" customHeight="1">
      <c r="A83" s="50"/>
      <c r="B83" s="50"/>
      <c r="C83" s="50"/>
      <c r="D83" s="50"/>
      <c r="E83" s="50"/>
      <c r="F83" s="50"/>
      <c r="G83" s="13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spans="1:26" ht="11.25" customHeight="1">
      <c r="A84" s="50"/>
      <c r="B84" s="50"/>
      <c r="C84" s="50"/>
      <c r="D84" s="50"/>
      <c r="E84" s="50"/>
      <c r="F84" s="50"/>
      <c r="G84" s="13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spans="1:26" ht="11.25" customHeight="1">
      <c r="A85" s="50"/>
      <c r="B85" s="50"/>
      <c r="C85" s="50"/>
      <c r="D85" s="50"/>
      <c r="E85" s="50"/>
      <c r="F85" s="50"/>
      <c r="G85" s="13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spans="1:26" ht="11.25" customHeight="1">
      <c r="A86" s="50"/>
      <c r="B86" s="50"/>
      <c r="C86" s="50"/>
      <c r="D86" s="50"/>
      <c r="E86" s="50"/>
      <c r="F86" s="50"/>
      <c r="G86" s="13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spans="1:26" ht="11.25" customHeight="1">
      <c r="A87" s="50"/>
      <c r="B87" s="50"/>
      <c r="C87" s="50"/>
      <c r="D87" s="50"/>
      <c r="E87" s="50"/>
      <c r="F87" s="50"/>
      <c r="G87" s="13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spans="1:26" ht="11.25" customHeight="1">
      <c r="A88" s="50"/>
      <c r="B88" s="50"/>
      <c r="C88" s="50"/>
      <c r="D88" s="50"/>
      <c r="E88" s="50"/>
      <c r="F88" s="50"/>
      <c r="G88" s="13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spans="1:26" ht="11.25" customHeight="1">
      <c r="A89" s="50"/>
      <c r="B89" s="50"/>
      <c r="C89" s="50"/>
      <c r="D89" s="50"/>
      <c r="E89" s="50"/>
      <c r="F89" s="50"/>
      <c r="G89" s="13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spans="1:26" ht="11.25" customHeight="1">
      <c r="A90" s="50"/>
      <c r="B90" s="50"/>
      <c r="C90" s="50"/>
      <c r="D90" s="50"/>
      <c r="E90" s="50"/>
      <c r="F90" s="50"/>
      <c r="G90" s="13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spans="1:26" ht="11.25" customHeight="1">
      <c r="A91" s="50"/>
      <c r="B91" s="50"/>
      <c r="C91" s="50"/>
      <c r="D91" s="50"/>
      <c r="E91" s="50"/>
      <c r="F91" s="50"/>
      <c r="G91" s="13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spans="1:26" ht="11.25" customHeight="1">
      <c r="A92" s="50"/>
      <c r="B92" s="50"/>
      <c r="C92" s="50"/>
      <c r="D92" s="50"/>
      <c r="E92" s="50"/>
      <c r="F92" s="50"/>
      <c r="G92" s="13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spans="1:26" ht="11.25" customHeight="1">
      <c r="A93" s="50"/>
      <c r="B93" s="50"/>
      <c r="C93" s="50"/>
      <c r="D93" s="50"/>
      <c r="E93" s="50"/>
      <c r="F93" s="50"/>
      <c r="G93" s="13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spans="1:26" ht="11.25" customHeight="1">
      <c r="A94" s="50"/>
      <c r="B94" s="50"/>
      <c r="C94" s="50"/>
      <c r="D94" s="50"/>
      <c r="E94" s="50"/>
      <c r="F94" s="50"/>
      <c r="G94" s="13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spans="1:26" ht="11.25" customHeight="1">
      <c r="A95" s="50"/>
      <c r="B95" s="50"/>
      <c r="C95" s="50"/>
      <c r="D95" s="50"/>
      <c r="E95" s="50"/>
      <c r="F95" s="50"/>
      <c r="G95" s="13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spans="1:26" ht="11.25" customHeight="1">
      <c r="A96" s="50"/>
      <c r="B96" s="50"/>
      <c r="C96" s="50"/>
      <c r="D96" s="50"/>
      <c r="E96" s="50"/>
      <c r="F96" s="50"/>
      <c r="G96" s="13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spans="1:26" ht="11.25" customHeight="1">
      <c r="A97" s="50"/>
      <c r="B97" s="50"/>
      <c r="C97" s="50"/>
      <c r="D97" s="50"/>
      <c r="E97" s="50"/>
      <c r="F97" s="50"/>
      <c r="G97" s="13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spans="1:26" ht="11.25" customHeight="1">
      <c r="A98" s="50"/>
      <c r="B98" s="50"/>
      <c r="C98" s="50"/>
      <c r="D98" s="50"/>
      <c r="E98" s="50"/>
      <c r="F98" s="50"/>
      <c r="G98" s="13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spans="1:26" ht="11.25" customHeight="1">
      <c r="A99" s="50"/>
      <c r="B99" s="50"/>
      <c r="C99" s="50"/>
      <c r="D99" s="50"/>
      <c r="E99" s="50"/>
      <c r="F99" s="50"/>
      <c r="G99" s="13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spans="1:26" ht="11.25" customHeight="1">
      <c r="A100" s="50"/>
      <c r="B100" s="50"/>
      <c r="C100" s="50"/>
      <c r="D100" s="50"/>
      <c r="E100" s="50"/>
      <c r="F100" s="50"/>
      <c r="G100" s="13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spans="1:26" ht="11.25" customHeight="1">
      <c r="A101" s="50"/>
      <c r="B101" s="50"/>
      <c r="C101" s="50"/>
      <c r="D101" s="50"/>
      <c r="E101" s="50"/>
      <c r="F101" s="50"/>
      <c r="G101" s="13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spans="1:26" ht="11.25" customHeight="1">
      <c r="A102" s="50"/>
      <c r="B102" s="50"/>
      <c r="C102" s="50"/>
      <c r="D102" s="50"/>
      <c r="E102" s="50"/>
      <c r="F102" s="50"/>
      <c r="G102" s="13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spans="1:26" ht="11.25" customHeight="1">
      <c r="A103" s="50"/>
      <c r="B103" s="50"/>
      <c r="C103" s="50"/>
      <c r="D103" s="50"/>
      <c r="E103" s="50"/>
      <c r="F103" s="50"/>
      <c r="G103" s="13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spans="1:26" ht="11.25" customHeight="1">
      <c r="A104" s="50"/>
      <c r="B104" s="50"/>
      <c r="C104" s="50"/>
      <c r="D104" s="50"/>
      <c r="E104" s="50"/>
      <c r="F104" s="50"/>
      <c r="G104" s="13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spans="1:26" ht="11.25" customHeight="1">
      <c r="A105" s="50"/>
      <c r="B105" s="50"/>
      <c r="C105" s="50"/>
      <c r="D105" s="50"/>
      <c r="E105" s="50"/>
      <c r="F105" s="50"/>
      <c r="G105" s="13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spans="1:26" ht="11.25" customHeight="1">
      <c r="A106" s="50"/>
      <c r="B106" s="50"/>
      <c r="C106" s="50"/>
      <c r="D106" s="50"/>
      <c r="E106" s="50"/>
      <c r="F106" s="50"/>
      <c r="G106" s="13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spans="1:26" ht="11.25" customHeight="1">
      <c r="A107" s="50"/>
      <c r="B107" s="50"/>
      <c r="C107" s="50"/>
      <c r="D107" s="50"/>
      <c r="E107" s="50"/>
      <c r="F107" s="50"/>
      <c r="G107" s="13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spans="1:26" ht="11.25" customHeight="1">
      <c r="A108" s="50"/>
      <c r="B108" s="50"/>
      <c r="C108" s="50"/>
      <c r="D108" s="50"/>
      <c r="E108" s="50"/>
      <c r="F108" s="50"/>
      <c r="G108" s="13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spans="1:26" ht="11.25" customHeight="1">
      <c r="A109" s="50"/>
      <c r="B109" s="50"/>
      <c r="C109" s="50"/>
      <c r="D109" s="50"/>
      <c r="E109" s="50"/>
      <c r="F109" s="50"/>
      <c r="G109" s="13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spans="1:26" ht="11.25" customHeight="1">
      <c r="A110" s="50"/>
      <c r="B110" s="50"/>
      <c r="C110" s="50"/>
      <c r="D110" s="50"/>
      <c r="E110" s="50"/>
      <c r="F110" s="50"/>
      <c r="G110" s="13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spans="1:26" ht="11.25" customHeight="1">
      <c r="A111" s="50"/>
      <c r="B111" s="50"/>
      <c r="C111" s="50"/>
      <c r="D111" s="50"/>
      <c r="E111" s="50"/>
      <c r="F111" s="50"/>
      <c r="G111" s="13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spans="1:26" ht="11.25" customHeight="1">
      <c r="A112" s="50"/>
      <c r="B112" s="50"/>
      <c r="C112" s="50"/>
      <c r="D112" s="50"/>
      <c r="E112" s="50"/>
      <c r="F112" s="50"/>
      <c r="G112" s="13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spans="1:26" ht="11.25" customHeight="1">
      <c r="A113" s="50"/>
      <c r="B113" s="50"/>
      <c r="C113" s="50"/>
      <c r="D113" s="50"/>
      <c r="E113" s="50"/>
      <c r="F113" s="50"/>
      <c r="G113" s="13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spans="1:26" ht="11.25" customHeight="1">
      <c r="A114" s="50"/>
      <c r="B114" s="50"/>
      <c r="C114" s="50"/>
      <c r="D114" s="50"/>
      <c r="E114" s="50"/>
      <c r="F114" s="50"/>
      <c r="G114" s="13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spans="1:26" ht="11.25" customHeight="1">
      <c r="A115" s="50"/>
      <c r="B115" s="50"/>
      <c r="C115" s="50"/>
      <c r="D115" s="50"/>
      <c r="E115" s="50"/>
      <c r="F115" s="50"/>
      <c r="G115" s="13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spans="1:26" ht="11.25" customHeight="1">
      <c r="A116" s="50"/>
      <c r="B116" s="50"/>
      <c r="C116" s="50"/>
      <c r="D116" s="50"/>
      <c r="E116" s="50"/>
      <c r="F116" s="50"/>
      <c r="G116" s="13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spans="1:26" ht="11.25" customHeight="1">
      <c r="A117" s="50"/>
      <c r="B117" s="50"/>
      <c r="C117" s="50"/>
      <c r="D117" s="50"/>
      <c r="E117" s="50"/>
      <c r="F117" s="50"/>
      <c r="G117" s="13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spans="1:26" ht="11.25" customHeight="1">
      <c r="A118" s="50"/>
      <c r="B118" s="50"/>
      <c r="C118" s="50"/>
      <c r="D118" s="50"/>
      <c r="E118" s="50"/>
      <c r="F118" s="50"/>
      <c r="G118" s="13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spans="1:26" ht="11.25" customHeight="1">
      <c r="A119" s="50"/>
      <c r="B119" s="50"/>
      <c r="C119" s="50"/>
      <c r="D119" s="50"/>
      <c r="E119" s="50"/>
      <c r="F119" s="50"/>
      <c r="G119" s="13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spans="1:26" ht="11.25" customHeight="1">
      <c r="A120" s="50"/>
      <c r="B120" s="50"/>
      <c r="C120" s="50"/>
      <c r="D120" s="50"/>
      <c r="E120" s="50"/>
      <c r="F120" s="50"/>
      <c r="G120" s="13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spans="1:26" ht="11.25" customHeight="1">
      <c r="A121" s="50"/>
      <c r="B121" s="50"/>
      <c r="C121" s="50"/>
      <c r="D121" s="50"/>
      <c r="E121" s="50"/>
      <c r="F121" s="50"/>
      <c r="G121" s="13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spans="1:26" ht="11.25" customHeight="1">
      <c r="A122" s="50"/>
      <c r="B122" s="50"/>
      <c r="C122" s="50"/>
      <c r="D122" s="50"/>
      <c r="E122" s="50"/>
      <c r="F122" s="50"/>
      <c r="G122" s="13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spans="1:26" ht="11.25" customHeight="1">
      <c r="A123" s="50"/>
      <c r="B123" s="50"/>
      <c r="C123" s="50"/>
      <c r="D123" s="50"/>
      <c r="E123" s="50"/>
      <c r="F123" s="50"/>
      <c r="G123" s="13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spans="1:26" ht="11.25" customHeight="1">
      <c r="A124" s="50"/>
      <c r="B124" s="50"/>
      <c r="C124" s="50"/>
      <c r="D124" s="50"/>
      <c r="E124" s="50"/>
      <c r="F124" s="50"/>
      <c r="G124" s="13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spans="1:26" ht="11.25" customHeight="1">
      <c r="A125" s="50"/>
      <c r="B125" s="50"/>
      <c r="C125" s="50"/>
      <c r="D125" s="50"/>
      <c r="E125" s="50"/>
      <c r="F125" s="50"/>
      <c r="G125" s="13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spans="1:26" ht="11.25" customHeight="1">
      <c r="A126" s="50"/>
      <c r="B126" s="50"/>
      <c r="C126" s="50"/>
      <c r="D126" s="50"/>
      <c r="E126" s="50"/>
      <c r="F126" s="50"/>
      <c r="G126" s="13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spans="1:26" ht="11.25" customHeight="1">
      <c r="A127" s="50"/>
      <c r="B127" s="50"/>
      <c r="C127" s="50"/>
      <c r="D127" s="50"/>
      <c r="E127" s="50"/>
      <c r="F127" s="50"/>
      <c r="G127" s="13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spans="1:26" ht="11.25" customHeight="1">
      <c r="A128" s="50"/>
      <c r="B128" s="50"/>
      <c r="C128" s="50"/>
      <c r="D128" s="50"/>
      <c r="E128" s="50"/>
      <c r="F128" s="50"/>
      <c r="G128" s="13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spans="1:26" ht="11.25" customHeight="1">
      <c r="A129" s="50"/>
      <c r="B129" s="50"/>
      <c r="C129" s="50"/>
      <c r="D129" s="50"/>
      <c r="E129" s="50"/>
      <c r="F129" s="50"/>
      <c r="G129" s="13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spans="1:26" ht="11.25" customHeight="1">
      <c r="A130" s="50"/>
      <c r="B130" s="50"/>
      <c r="C130" s="50"/>
      <c r="D130" s="50"/>
      <c r="E130" s="50"/>
      <c r="F130" s="50"/>
      <c r="G130" s="13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spans="1:26" ht="11.25" customHeight="1">
      <c r="A131" s="50"/>
      <c r="B131" s="50"/>
      <c r="C131" s="50"/>
      <c r="D131" s="50"/>
      <c r="E131" s="50"/>
      <c r="F131" s="50"/>
      <c r="G131" s="13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spans="1:26" ht="11.25" customHeight="1">
      <c r="A132" s="50"/>
      <c r="B132" s="50"/>
      <c r="C132" s="50"/>
      <c r="D132" s="50"/>
      <c r="E132" s="50"/>
      <c r="F132" s="50"/>
      <c r="G132" s="13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spans="1:26" ht="11.25" customHeight="1">
      <c r="A133" s="50"/>
      <c r="B133" s="50"/>
      <c r="C133" s="50"/>
      <c r="D133" s="50"/>
      <c r="E133" s="50"/>
      <c r="F133" s="50"/>
      <c r="G133" s="13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spans="1:26" ht="11.25" customHeight="1">
      <c r="A134" s="50"/>
      <c r="B134" s="50"/>
      <c r="C134" s="50"/>
      <c r="D134" s="50"/>
      <c r="E134" s="50"/>
      <c r="F134" s="50"/>
      <c r="G134" s="13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spans="1:26" ht="11.25" customHeight="1">
      <c r="A135" s="50"/>
      <c r="B135" s="50"/>
      <c r="C135" s="50"/>
      <c r="D135" s="50"/>
      <c r="E135" s="50"/>
      <c r="F135" s="50"/>
      <c r="G135" s="13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spans="1:26" ht="11.25" customHeight="1">
      <c r="A136" s="50"/>
      <c r="B136" s="50"/>
      <c r="C136" s="50"/>
      <c r="D136" s="50"/>
      <c r="E136" s="50"/>
      <c r="F136" s="50"/>
      <c r="G136" s="13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spans="1:26" ht="11.25" customHeight="1">
      <c r="A137" s="50"/>
      <c r="B137" s="50"/>
      <c r="C137" s="50"/>
      <c r="D137" s="50"/>
      <c r="E137" s="50"/>
      <c r="F137" s="50"/>
      <c r="G137" s="13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spans="1:26" ht="11.25" customHeight="1">
      <c r="A138" s="50"/>
      <c r="B138" s="50"/>
      <c r="C138" s="50"/>
      <c r="D138" s="50"/>
      <c r="E138" s="50"/>
      <c r="F138" s="50"/>
      <c r="G138" s="13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spans="1:26" ht="11.25" customHeight="1">
      <c r="A139" s="50"/>
      <c r="B139" s="50"/>
      <c r="C139" s="50"/>
      <c r="D139" s="50"/>
      <c r="E139" s="50"/>
      <c r="F139" s="50"/>
      <c r="G139" s="13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spans="1:26" ht="11.25" customHeight="1">
      <c r="A140" s="50"/>
      <c r="B140" s="50"/>
      <c r="C140" s="50"/>
      <c r="D140" s="50"/>
      <c r="E140" s="50"/>
      <c r="F140" s="50"/>
      <c r="G140" s="13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spans="1:26" ht="11.25" customHeight="1">
      <c r="A141" s="50"/>
      <c r="B141" s="50"/>
      <c r="C141" s="50"/>
      <c r="D141" s="50"/>
      <c r="E141" s="50"/>
      <c r="F141" s="50"/>
      <c r="G141" s="13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spans="1:26" ht="11.25" customHeight="1">
      <c r="A142" s="50"/>
      <c r="B142" s="50"/>
      <c r="C142" s="50"/>
      <c r="D142" s="50"/>
      <c r="E142" s="50"/>
      <c r="F142" s="50"/>
      <c r="G142" s="13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spans="1:26" ht="11.25" customHeight="1">
      <c r="A143" s="50"/>
      <c r="B143" s="50"/>
      <c r="C143" s="50"/>
      <c r="D143" s="50"/>
      <c r="E143" s="50"/>
      <c r="F143" s="50"/>
      <c r="G143" s="13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spans="1:26" ht="11.25" customHeight="1">
      <c r="A144" s="50"/>
      <c r="B144" s="50"/>
      <c r="C144" s="50"/>
      <c r="D144" s="50"/>
      <c r="E144" s="50"/>
      <c r="F144" s="50"/>
      <c r="G144" s="13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spans="1:26" ht="11.25" customHeight="1">
      <c r="A145" s="50"/>
      <c r="B145" s="50"/>
      <c r="C145" s="50"/>
      <c r="D145" s="50"/>
      <c r="E145" s="50"/>
      <c r="F145" s="50"/>
      <c r="G145" s="13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spans="1:26" ht="11.25" customHeight="1">
      <c r="A146" s="50"/>
      <c r="B146" s="50"/>
      <c r="C146" s="50"/>
      <c r="D146" s="50"/>
      <c r="E146" s="50"/>
      <c r="F146" s="50"/>
      <c r="G146" s="13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spans="1:26" ht="11.25" customHeight="1">
      <c r="A147" s="50"/>
      <c r="B147" s="50"/>
      <c r="C147" s="50"/>
      <c r="D147" s="50"/>
      <c r="E147" s="50"/>
      <c r="F147" s="50"/>
      <c r="G147" s="13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spans="1:26" ht="11.25" customHeight="1">
      <c r="A148" s="50"/>
      <c r="B148" s="50"/>
      <c r="C148" s="50"/>
      <c r="D148" s="50"/>
      <c r="E148" s="50"/>
      <c r="F148" s="50"/>
      <c r="G148" s="13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spans="1:26" ht="11.25" customHeight="1">
      <c r="A149" s="50"/>
      <c r="B149" s="50"/>
      <c r="C149" s="50"/>
      <c r="D149" s="50"/>
      <c r="E149" s="50"/>
      <c r="F149" s="50"/>
      <c r="G149" s="13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spans="1:26" ht="11.25" customHeight="1">
      <c r="A150" s="50"/>
      <c r="B150" s="50"/>
      <c r="C150" s="50"/>
      <c r="D150" s="50"/>
      <c r="E150" s="50"/>
      <c r="F150" s="50"/>
      <c r="G150" s="13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spans="1:26" ht="11.25" customHeight="1">
      <c r="A151" s="50"/>
      <c r="B151" s="50"/>
      <c r="C151" s="50"/>
      <c r="D151" s="50"/>
      <c r="E151" s="50"/>
      <c r="F151" s="50"/>
      <c r="G151" s="13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spans="1:26" ht="11.25" customHeight="1">
      <c r="A152" s="50"/>
      <c r="B152" s="50"/>
      <c r="C152" s="50"/>
      <c r="D152" s="50"/>
      <c r="E152" s="50"/>
      <c r="F152" s="50"/>
      <c r="G152" s="13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spans="1:26" ht="11.25" customHeight="1">
      <c r="A153" s="50"/>
      <c r="B153" s="50"/>
      <c r="C153" s="50"/>
      <c r="D153" s="50"/>
      <c r="E153" s="50"/>
      <c r="F153" s="50"/>
      <c r="G153" s="13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spans="1:26" ht="11.25" customHeight="1">
      <c r="A154" s="50"/>
      <c r="B154" s="50"/>
      <c r="C154" s="50"/>
      <c r="D154" s="50"/>
      <c r="E154" s="50"/>
      <c r="F154" s="50"/>
      <c r="G154" s="13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spans="1:26" ht="11.25" customHeight="1">
      <c r="A155" s="50"/>
      <c r="B155" s="50"/>
      <c r="C155" s="50"/>
      <c r="D155" s="50"/>
      <c r="E155" s="50"/>
      <c r="F155" s="50"/>
      <c r="G155" s="13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spans="1:26" ht="11.25" customHeight="1">
      <c r="A156" s="50"/>
      <c r="B156" s="50"/>
      <c r="C156" s="50"/>
      <c r="D156" s="50"/>
      <c r="E156" s="50"/>
      <c r="F156" s="50"/>
      <c r="G156" s="13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spans="1:26" ht="11.25" customHeight="1">
      <c r="A157" s="50"/>
      <c r="B157" s="50"/>
      <c r="C157" s="50"/>
      <c r="D157" s="50"/>
      <c r="E157" s="50"/>
      <c r="F157" s="50"/>
      <c r="G157" s="13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spans="1:26" ht="11.25" customHeight="1">
      <c r="A158" s="50"/>
      <c r="B158" s="50"/>
      <c r="C158" s="50"/>
      <c r="D158" s="50"/>
      <c r="E158" s="50"/>
      <c r="F158" s="50"/>
      <c r="G158" s="13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spans="1:26" ht="11.25" customHeight="1">
      <c r="A159" s="50"/>
      <c r="B159" s="50"/>
      <c r="C159" s="50"/>
      <c r="D159" s="50"/>
      <c r="E159" s="50"/>
      <c r="F159" s="50"/>
      <c r="G159" s="13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spans="1:26" ht="11.25" customHeight="1">
      <c r="A160" s="50"/>
      <c r="B160" s="50"/>
      <c r="C160" s="50"/>
      <c r="D160" s="50"/>
      <c r="E160" s="50"/>
      <c r="F160" s="50"/>
      <c r="G160" s="13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spans="1:26" ht="11.25" customHeight="1">
      <c r="A161" s="50"/>
      <c r="B161" s="50"/>
      <c r="C161" s="50"/>
      <c r="D161" s="50"/>
      <c r="E161" s="50"/>
      <c r="F161" s="50"/>
      <c r="G161" s="13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spans="1:26" ht="11.25" customHeight="1">
      <c r="A162" s="50"/>
      <c r="B162" s="50"/>
      <c r="C162" s="50"/>
      <c r="D162" s="50"/>
      <c r="E162" s="50"/>
      <c r="F162" s="50"/>
      <c r="G162" s="13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spans="1:26" ht="11.25" customHeight="1">
      <c r="A163" s="50"/>
      <c r="B163" s="50"/>
      <c r="C163" s="50"/>
      <c r="D163" s="50"/>
      <c r="E163" s="50"/>
      <c r="F163" s="50"/>
      <c r="G163" s="13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spans="1:26" ht="11.25" customHeight="1">
      <c r="A164" s="50"/>
      <c r="B164" s="50"/>
      <c r="C164" s="50"/>
      <c r="D164" s="50"/>
      <c r="E164" s="50"/>
      <c r="F164" s="50"/>
      <c r="G164" s="13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spans="1:26" ht="11.25" customHeight="1">
      <c r="A165" s="50"/>
      <c r="B165" s="50"/>
      <c r="C165" s="50"/>
      <c r="D165" s="50"/>
      <c r="E165" s="50"/>
      <c r="F165" s="50"/>
      <c r="G165" s="13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spans="1:26" ht="11.25" customHeight="1">
      <c r="A166" s="50"/>
      <c r="B166" s="50"/>
      <c r="C166" s="50"/>
      <c r="D166" s="50"/>
      <c r="E166" s="50"/>
      <c r="F166" s="50"/>
      <c r="G166" s="13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spans="1:26" ht="11.25" customHeight="1">
      <c r="A167" s="50"/>
      <c r="B167" s="50"/>
      <c r="C167" s="50"/>
      <c r="D167" s="50"/>
      <c r="E167" s="50"/>
      <c r="F167" s="50"/>
      <c r="G167" s="13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spans="1:26" ht="11.25" customHeight="1">
      <c r="A168" s="50"/>
      <c r="B168" s="50"/>
      <c r="C168" s="50"/>
      <c r="D168" s="50"/>
      <c r="E168" s="50"/>
      <c r="F168" s="50"/>
      <c r="G168" s="13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spans="1:26" ht="11.25" customHeight="1">
      <c r="A169" s="50"/>
      <c r="B169" s="50"/>
      <c r="C169" s="50"/>
      <c r="D169" s="50"/>
      <c r="E169" s="50"/>
      <c r="F169" s="50"/>
      <c r="G169" s="13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spans="1:26" ht="11.25" customHeight="1">
      <c r="A170" s="50"/>
      <c r="B170" s="50"/>
      <c r="C170" s="50"/>
      <c r="D170" s="50"/>
      <c r="E170" s="50"/>
      <c r="F170" s="50"/>
      <c r="G170" s="13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spans="1:26" ht="11.25" customHeight="1">
      <c r="A171" s="50"/>
      <c r="B171" s="50"/>
      <c r="C171" s="50"/>
      <c r="D171" s="50"/>
      <c r="E171" s="50"/>
      <c r="F171" s="50"/>
      <c r="G171" s="13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spans="1:26" ht="11.25" customHeight="1">
      <c r="A172" s="50"/>
      <c r="B172" s="50"/>
      <c r="C172" s="50"/>
      <c r="D172" s="50"/>
      <c r="E172" s="50"/>
      <c r="F172" s="50"/>
      <c r="G172" s="13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spans="1:26" ht="11.25" customHeight="1">
      <c r="A173" s="50"/>
      <c r="B173" s="50"/>
      <c r="C173" s="50"/>
      <c r="D173" s="50"/>
      <c r="E173" s="50"/>
      <c r="F173" s="50"/>
      <c r="G173" s="13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spans="1:26" ht="11.25" customHeight="1">
      <c r="A174" s="50"/>
      <c r="B174" s="50"/>
      <c r="C174" s="50"/>
      <c r="D174" s="50"/>
      <c r="E174" s="50"/>
      <c r="F174" s="50"/>
      <c r="G174" s="13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spans="1:26" ht="11.25" customHeight="1">
      <c r="A175" s="50"/>
      <c r="B175" s="50"/>
      <c r="C175" s="50"/>
      <c r="D175" s="50"/>
      <c r="E175" s="50"/>
      <c r="F175" s="50"/>
      <c r="G175" s="13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spans="1:26" ht="11.25" customHeight="1">
      <c r="A176" s="50"/>
      <c r="B176" s="50"/>
      <c r="C176" s="50"/>
      <c r="D176" s="50"/>
      <c r="E176" s="50"/>
      <c r="F176" s="50"/>
      <c r="G176" s="13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spans="1:26" ht="11.25" customHeight="1">
      <c r="A177" s="50"/>
      <c r="B177" s="50"/>
      <c r="C177" s="50"/>
      <c r="D177" s="50"/>
      <c r="E177" s="50"/>
      <c r="F177" s="50"/>
      <c r="G177" s="13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spans="1:26" ht="11.25" customHeight="1">
      <c r="A178" s="50"/>
      <c r="B178" s="50"/>
      <c r="C178" s="50"/>
      <c r="D178" s="50"/>
      <c r="E178" s="50"/>
      <c r="F178" s="50"/>
      <c r="G178" s="13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spans="1:26" ht="11.25" customHeight="1">
      <c r="A179" s="50"/>
      <c r="B179" s="50"/>
      <c r="C179" s="50"/>
      <c r="D179" s="50"/>
      <c r="E179" s="50"/>
      <c r="F179" s="50"/>
      <c r="G179" s="13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spans="1:26" ht="11.25" customHeight="1">
      <c r="A180" s="50"/>
      <c r="B180" s="50"/>
      <c r="C180" s="50"/>
      <c r="D180" s="50"/>
      <c r="E180" s="50"/>
      <c r="F180" s="50"/>
      <c r="G180" s="13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spans="1:26" ht="11.25" customHeight="1">
      <c r="A181" s="50"/>
      <c r="B181" s="50"/>
      <c r="C181" s="50"/>
      <c r="D181" s="50"/>
      <c r="E181" s="50"/>
      <c r="F181" s="50"/>
      <c r="G181" s="13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spans="1:26" ht="11.25" customHeight="1">
      <c r="A182" s="50"/>
      <c r="B182" s="50"/>
      <c r="C182" s="50"/>
      <c r="D182" s="50"/>
      <c r="E182" s="50"/>
      <c r="F182" s="50"/>
      <c r="G182" s="13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spans="1:26" ht="11.25" customHeight="1">
      <c r="A183" s="50"/>
      <c r="B183" s="50"/>
      <c r="C183" s="50"/>
      <c r="D183" s="50"/>
      <c r="E183" s="50"/>
      <c r="F183" s="50"/>
      <c r="G183" s="13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spans="1:26" ht="11.25" customHeight="1">
      <c r="A184" s="50"/>
      <c r="B184" s="50"/>
      <c r="C184" s="50"/>
      <c r="D184" s="50"/>
      <c r="E184" s="50"/>
      <c r="F184" s="50"/>
      <c r="G184" s="13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spans="1:26" ht="11.25" customHeight="1">
      <c r="A185" s="50"/>
      <c r="B185" s="50"/>
      <c r="C185" s="50"/>
      <c r="D185" s="50"/>
      <c r="E185" s="50"/>
      <c r="F185" s="50"/>
      <c r="G185" s="13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spans="1:26" ht="11.25" customHeight="1">
      <c r="A186" s="50"/>
      <c r="B186" s="50"/>
      <c r="C186" s="50"/>
      <c r="D186" s="50"/>
      <c r="E186" s="50"/>
      <c r="F186" s="50"/>
      <c r="G186" s="13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spans="1:26" ht="11.25" customHeight="1">
      <c r="A187" s="50"/>
      <c r="B187" s="50"/>
      <c r="C187" s="50"/>
      <c r="D187" s="50"/>
      <c r="E187" s="50"/>
      <c r="F187" s="50"/>
      <c r="G187" s="13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spans="1:26" ht="11.25" customHeight="1">
      <c r="A188" s="50"/>
      <c r="B188" s="50"/>
      <c r="C188" s="50"/>
      <c r="D188" s="50"/>
      <c r="E188" s="50"/>
      <c r="F188" s="50"/>
      <c r="G188" s="13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spans="1:26" ht="11.25" customHeight="1">
      <c r="A189" s="50"/>
      <c r="B189" s="50"/>
      <c r="C189" s="50"/>
      <c r="D189" s="50"/>
      <c r="E189" s="50"/>
      <c r="F189" s="50"/>
      <c r="G189" s="13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spans="1:26" ht="11.25" customHeight="1">
      <c r="A190" s="50"/>
      <c r="B190" s="50"/>
      <c r="C190" s="50"/>
      <c r="D190" s="50"/>
      <c r="E190" s="50"/>
      <c r="F190" s="50"/>
      <c r="G190" s="13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spans="1:26" ht="11.25" customHeight="1">
      <c r="A191" s="50"/>
      <c r="B191" s="50"/>
      <c r="C191" s="50"/>
      <c r="D191" s="50"/>
      <c r="E191" s="50"/>
      <c r="F191" s="50"/>
      <c r="G191" s="13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spans="1:26" ht="11.25" customHeight="1">
      <c r="A192" s="50"/>
      <c r="B192" s="50"/>
      <c r="C192" s="50"/>
      <c r="D192" s="50"/>
      <c r="E192" s="50"/>
      <c r="F192" s="50"/>
      <c r="G192" s="13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spans="1:26" ht="11.25" customHeight="1">
      <c r="A193" s="50"/>
      <c r="B193" s="50"/>
      <c r="C193" s="50"/>
      <c r="D193" s="50"/>
      <c r="E193" s="50"/>
      <c r="F193" s="50"/>
      <c r="G193" s="13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spans="1:26" ht="11.25" customHeight="1">
      <c r="A194" s="50"/>
      <c r="B194" s="50"/>
      <c r="C194" s="50"/>
      <c r="D194" s="50"/>
      <c r="E194" s="50"/>
      <c r="F194" s="50"/>
      <c r="G194" s="13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spans="1:26" ht="11.25" customHeight="1">
      <c r="A195" s="50"/>
      <c r="B195" s="50"/>
      <c r="C195" s="50"/>
      <c r="D195" s="50"/>
      <c r="E195" s="50"/>
      <c r="F195" s="50"/>
      <c r="G195" s="13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spans="1:26" ht="11.25" customHeight="1">
      <c r="A196" s="50"/>
      <c r="B196" s="50"/>
      <c r="C196" s="50"/>
      <c r="D196" s="50"/>
      <c r="E196" s="50"/>
      <c r="F196" s="50"/>
      <c r="G196" s="13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spans="1:26" ht="11.25" customHeight="1">
      <c r="A197" s="50"/>
      <c r="B197" s="50"/>
      <c r="C197" s="50"/>
      <c r="D197" s="50"/>
      <c r="E197" s="50"/>
      <c r="F197" s="50"/>
      <c r="G197" s="13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spans="1:26" ht="11.25" customHeight="1">
      <c r="A198" s="50"/>
      <c r="B198" s="50"/>
      <c r="C198" s="50"/>
      <c r="D198" s="50"/>
      <c r="E198" s="50"/>
      <c r="F198" s="50"/>
      <c r="G198" s="13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spans="1:26" ht="11.25" customHeight="1">
      <c r="A199" s="50"/>
      <c r="B199" s="50"/>
      <c r="C199" s="50"/>
      <c r="D199" s="50"/>
      <c r="E199" s="50"/>
      <c r="F199" s="50"/>
      <c r="G199" s="13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spans="1:26" ht="11.25" customHeight="1">
      <c r="A200" s="50"/>
      <c r="B200" s="50"/>
      <c r="C200" s="50"/>
      <c r="D200" s="50"/>
      <c r="E200" s="50"/>
      <c r="F200" s="50"/>
      <c r="G200" s="13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spans="1:26" ht="11.25" customHeight="1">
      <c r="A201" s="50"/>
      <c r="B201" s="50"/>
      <c r="C201" s="50"/>
      <c r="D201" s="50"/>
      <c r="E201" s="50"/>
      <c r="F201" s="50"/>
      <c r="G201" s="13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spans="1:26" ht="11.25" customHeight="1">
      <c r="A202" s="50"/>
      <c r="B202" s="50"/>
      <c r="C202" s="50"/>
      <c r="D202" s="50"/>
      <c r="E202" s="50"/>
      <c r="F202" s="50"/>
      <c r="G202" s="13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spans="1:26" ht="11.25" customHeight="1">
      <c r="A203" s="50"/>
      <c r="B203" s="50"/>
      <c r="C203" s="50"/>
      <c r="D203" s="50"/>
      <c r="E203" s="50"/>
      <c r="F203" s="50"/>
      <c r="G203" s="13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spans="1:26" ht="11.25" customHeight="1">
      <c r="A204" s="50"/>
      <c r="B204" s="50"/>
      <c r="C204" s="50"/>
      <c r="D204" s="50"/>
      <c r="E204" s="50"/>
      <c r="F204" s="50"/>
      <c r="G204" s="13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spans="1:26" ht="11.25" customHeight="1">
      <c r="A205" s="50"/>
      <c r="B205" s="50"/>
      <c r="C205" s="50"/>
      <c r="D205" s="50"/>
      <c r="E205" s="50"/>
      <c r="F205" s="50"/>
      <c r="G205" s="13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spans="1:26" ht="11.25" customHeight="1">
      <c r="A206" s="50"/>
      <c r="B206" s="50"/>
      <c r="C206" s="50"/>
      <c r="D206" s="50"/>
      <c r="E206" s="50"/>
      <c r="F206" s="50"/>
      <c r="G206" s="13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spans="1:26" ht="11.25" customHeight="1">
      <c r="A207" s="50"/>
      <c r="B207" s="50"/>
      <c r="C207" s="50"/>
      <c r="D207" s="50"/>
      <c r="E207" s="50"/>
      <c r="F207" s="50"/>
      <c r="G207" s="13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spans="1:26" ht="11.25" customHeight="1">
      <c r="A208" s="50"/>
      <c r="B208" s="50"/>
      <c r="C208" s="50"/>
      <c r="D208" s="50"/>
      <c r="E208" s="50"/>
      <c r="F208" s="50"/>
      <c r="G208" s="13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spans="1:26" ht="11.25" customHeight="1">
      <c r="A209" s="50"/>
      <c r="B209" s="50"/>
      <c r="C209" s="50"/>
      <c r="D209" s="50"/>
      <c r="E209" s="50"/>
      <c r="F209" s="50"/>
      <c r="G209" s="13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spans="1:26" ht="11.25" customHeight="1">
      <c r="A210" s="50"/>
      <c r="B210" s="50"/>
      <c r="C210" s="50"/>
      <c r="D210" s="50"/>
      <c r="E210" s="50"/>
      <c r="F210" s="50"/>
      <c r="G210" s="13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spans="1:26" ht="11.25" customHeight="1">
      <c r="A211" s="50"/>
      <c r="B211" s="50"/>
      <c r="C211" s="50"/>
      <c r="D211" s="50"/>
      <c r="E211" s="50"/>
      <c r="F211" s="50"/>
      <c r="G211" s="13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spans="1:26" ht="11.25" customHeight="1">
      <c r="A212" s="50"/>
      <c r="B212" s="50"/>
      <c r="C212" s="50"/>
      <c r="D212" s="50"/>
      <c r="E212" s="50"/>
      <c r="F212" s="50"/>
      <c r="G212" s="13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spans="1:26" ht="11.25" customHeight="1">
      <c r="A213" s="50"/>
      <c r="B213" s="50"/>
      <c r="C213" s="50"/>
      <c r="D213" s="50"/>
      <c r="E213" s="50"/>
      <c r="F213" s="50"/>
      <c r="G213" s="13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spans="1:26" ht="11.25" customHeight="1">
      <c r="A214" s="50"/>
      <c r="B214" s="50"/>
      <c r="C214" s="50"/>
      <c r="D214" s="50"/>
      <c r="E214" s="50"/>
      <c r="F214" s="50"/>
      <c r="G214" s="13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spans="1:26" ht="11.25" customHeight="1">
      <c r="A215" s="50"/>
      <c r="B215" s="50"/>
      <c r="C215" s="50"/>
      <c r="D215" s="50"/>
      <c r="E215" s="50"/>
      <c r="F215" s="50"/>
      <c r="G215" s="13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spans="1:26" ht="11.25" customHeight="1">
      <c r="A216" s="50"/>
      <c r="B216" s="50"/>
      <c r="C216" s="50"/>
      <c r="D216" s="50"/>
      <c r="E216" s="50"/>
      <c r="F216" s="50"/>
      <c r="G216" s="13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spans="1:26" ht="11.25" customHeight="1">
      <c r="A217" s="50"/>
      <c r="B217" s="50"/>
      <c r="C217" s="50"/>
      <c r="D217" s="50"/>
      <c r="E217" s="50"/>
      <c r="F217" s="50"/>
      <c r="G217" s="13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spans="1:26" ht="11.25" customHeight="1">
      <c r="A218" s="50"/>
      <c r="B218" s="50"/>
      <c r="C218" s="50"/>
      <c r="D218" s="50"/>
      <c r="E218" s="50"/>
      <c r="F218" s="50"/>
      <c r="G218" s="13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spans="1:26" ht="11.25" customHeight="1">
      <c r="A219" s="50"/>
      <c r="B219" s="50"/>
      <c r="C219" s="50"/>
      <c r="D219" s="50"/>
      <c r="E219" s="50"/>
      <c r="F219" s="50"/>
      <c r="G219" s="13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spans="1:26" ht="11.25" customHeight="1">
      <c r="A220" s="50"/>
      <c r="B220" s="50"/>
      <c r="C220" s="50"/>
      <c r="D220" s="50"/>
      <c r="E220" s="50"/>
      <c r="F220" s="50"/>
      <c r="G220" s="13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spans="1:26" ht="11.25" customHeight="1">
      <c r="A221" s="50"/>
      <c r="B221" s="50"/>
      <c r="C221" s="50"/>
      <c r="D221" s="50"/>
      <c r="E221" s="50"/>
      <c r="F221" s="50"/>
      <c r="G221" s="13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spans="1:26" ht="11.25" customHeight="1">
      <c r="A222" s="50"/>
      <c r="B222" s="50"/>
      <c r="C222" s="50"/>
      <c r="D222" s="50"/>
      <c r="E222" s="50"/>
      <c r="F222" s="50"/>
      <c r="G222" s="13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spans="1:26" ht="11.25" customHeight="1">
      <c r="A223" s="50"/>
      <c r="B223" s="50"/>
      <c r="C223" s="50"/>
      <c r="D223" s="50"/>
      <c r="E223" s="50"/>
      <c r="F223" s="50"/>
      <c r="G223" s="13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spans="1:26" ht="11.25" customHeight="1">
      <c r="A224" s="50"/>
      <c r="B224" s="50"/>
      <c r="C224" s="50"/>
      <c r="D224" s="50"/>
      <c r="E224" s="50"/>
      <c r="F224" s="50"/>
      <c r="G224" s="13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spans="1:26" ht="11.25" customHeight="1">
      <c r="A225" s="50"/>
      <c r="B225" s="50"/>
      <c r="C225" s="50"/>
      <c r="D225" s="50"/>
      <c r="E225" s="50"/>
      <c r="F225" s="50"/>
      <c r="G225" s="13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spans="1:26" ht="11.25" customHeight="1">
      <c r="A226" s="50"/>
      <c r="B226" s="50"/>
      <c r="C226" s="50"/>
      <c r="D226" s="50"/>
      <c r="E226" s="50"/>
      <c r="F226" s="50"/>
      <c r="G226" s="13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spans="1:26" ht="11.25" customHeight="1">
      <c r="A227" s="50"/>
      <c r="B227" s="50"/>
      <c r="C227" s="50"/>
      <c r="D227" s="50"/>
      <c r="E227" s="50"/>
      <c r="F227" s="50"/>
      <c r="G227" s="13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spans="1:26" ht="11.25" customHeight="1">
      <c r="A228" s="50"/>
      <c r="B228" s="50"/>
      <c r="C228" s="50"/>
      <c r="D228" s="50"/>
      <c r="E228" s="50"/>
      <c r="F228" s="50"/>
      <c r="G228" s="13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spans="1:26" ht="11.25" customHeight="1">
      <c r="A229" s="50"/>
      <c r="B229" s="50"/>
      <c r="C229" s="50"/>
      <c r="D229" s="50"/>
      <c r="E229" s="50"/>
      <c r="F229" s="50"/>
      <c r="G229" s="13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spans="1:26" ht="11.25" customHeight="1">
      <c r="A230" s="50"/>
      <c r="B230" s="50"/>
      <c r="C230" s="50"/>
      <c r="D230" s="50"/>
      <c r="E230" s="50"/>
      <c r="F230" s="50"/>
      <c r="G230" s="13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spans="1:26" ht="11.25" customHeight="1">
      <c r="A231" s="50"/>
      <c r="B231" s="50"/>
      <c r="C231" s="50"/>
      <c r="D231" s="50"/>
      <c r="E231" s="50"/>
      <c r="F231" s="50"/>
      <c r="G231" s="13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spans="1:26" ht="11.25" customHeight="1">
      <c r="A232" s="50"/>
      <c r="B232" s="50"/>
      <c r="C232" s="50"/>
      <c r="D232" s="50"/>
      <c r="E232" s="50"/>
      <c r="F232" s="50"/>
      <c r="G232" s="13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spans="1:26" ht="11.25" customHeight="1">
      <c r="A233" s="50"/>
      <c r="B233" s="50"/>
      <c r="C233" s="50"/>
      <c r="D233" s="50"/>
      <c r="E233" s="50"/>
      <c r="F233" s="50"/>
      <c r="G233" s="13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spans="1:26" ht="11.25" customHeight="1">
      <c r="A234" s="50"/>
      <c r="B234" s="50"/>
      <c r="C234" s="50"/>
      <c r="D234" s="50"/>
      <c r="E234" s="50"/>
      <c r="F234" s="50"/>
      <c r="G234" s="13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spans="1:26" ht="11.25" customHeight="1">
      <c r="A235" s="50"/>
      <c r="B235" s="50"/>
      <c r="C235" s="50"/>
      <c r="D235" s="50"/>
      <c r="E235" s="50"/>
      <c r="F235" s="50"/>
      <c r="G235" s="13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spans="1:26" ht="11.25" customHeight="1">
      <c r="A236" s="50"/>
      <c r="B236" s="50"/>
      <c r="C236" s="50"/>
      <c r="D236" s="50"/>
      <c r="E236" s="50"/>
      <c r="F236" s="50"/>
      <c r="G236" s="13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spans="1:26" ht="11.25" customHeight="1">
      <c r="A237" s="50"/>
      <c r="B237" s="50"/>
      <c r="C237" s="50"/>
      <c r="D237" s="50"/>
      <c r="E237" s="50"/>
      <c r="F237" s="50"/>
      <c r="G237" s="13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spans="1:26" ht="11.25" customHeight="1">
      <c r="A238" s="50"/>
      <c r="B238" s="50"/>
      <c r="C238" s="50"/>
      <c r="D238" s="50"/>
      <c r="E238" s="50"/>
      <c r="F238" s="50"/>
      <c r="G238" s="13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spans="1:26" ht="11.25" customHeight="1">
      <c r="A239" s="50"/>
      <c r="B239" s="50"/>
      <c r="C239" s="50"/>
      <c r="D239" s="50"/>
      <c r="E239" s="50"/>
      <c r="F239" s="50"/>
      <c r="G239" s="13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spans="1:26" ht="11.25" customHeight="1">
      <c r="A240" s="50"/>
      <c r="B240" s="50"/>
      <c r="C240" s="50"/>
      <c r="D240" s="50"/>
      <c r="E240" s="50"/>
      <c r="F240" s="50"/>
      <c r="G240" s="13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spans="1:26" ht="11.25" customHeight="1">
      <c r="A241" s="50"/>
      <c r="B241" s="50"/>
      <c r="C241" s="50"/>
      <c r="D241" s="50"/>
      <c r="E241" s="50"/>
      <c r="F241" s="50"/>
      <c r="G241" s="13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spans="1:26" ht="11.25" customHeight="1">
      <c r="A242" s="50"/>
      <c r="B242" s="50"/>
      <c r="C242" s="50"/>
      <c r="D242" s="50"/>
      <c r="E242" s="50"/>
      <c r="F242" s="50"/>
      <c r="G242" s="13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spans="1:26" ht="11.25" customHeight="1">
      <c r="A243" s="50"/>
      <c r="B243" s="50"/>
      <c r="C243" s="50"/>
      <c r="D243" s="50"/>
      <c r="E243" s="50"/>
      <c r="F243" s="50"/>
      <c r="G243" s="13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spans="1:26" ht="11.25" customHeight="1">
      <c r="A244" s="50"/>
      <c r="B244" s="50"/>
      <c r="C244" s="50"/>
      <c r="D244" s="50"/>
      <c r="E244" s="50"/>
      <c r="F244" s="50"/>
      <c r="G244" s="13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spans="1:26" ht="11.25" customHeight="1">
      <c r="A245" s="50"/>
      <c r="B245" s="50"/>
      <c r="C245" s="50"/>
      <c r="D245" s="50"/>
      <c r="E245" s="50"/>
      <c r="F245" s="50"/>
      <c r="G245" s="13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spans="1:26" ht="11.25" customHeight="1">
      <c r="A246" s="50"/>
      <c r="B246" s="50"/>
      <c r="C246" s="50"/>
      <c r="D246" s="50"/>
      <c r="E246" s="50"/>
      <c r="F246" s="50"/>
      <c r="G246" s="13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spans="1:26" ht="11.25" customHeight="1">
      <c r="A247" s="50"/>
      <c r="B247" s="50"/>
      <c r="C247" s="50"/>
      <c r="D247" s="50"/>
      <c r="E247" s="50"/>
      <c r="F247" s="50"/>
      <c r="G247" s="13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spans="1:26" ht="11.25" customHeight="1">
      <c r="A248" s="50"/>
      <c r="B248" s="50"/>
      <c r="C248" s="50"/>
      <c r="D248" s="50"/>
      <c r="E248" s="50"/>
      <c r="F248" s="50"/>
      <c r="G248" s="13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spans="1:26" ht="11.25" customHeight="1">
      <c r="A249" s="50"/>
      <c r="B249" s="50"/>
      <c r="C249" s="50"/>
      <c r="D249" s="50"/>
      <c r="E249" s="50"/>
      <c r="F249" s="50"/>
      <c r="G249" s="13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spans="1:26" ht="11.25" customHeight="1">
      <c r="A250" s="50"/>
      <c r="B250" s="50"/>
      <c r="C250" s="50"/>
      <c r="D250" s="50"/>
      <c r="E250" s="50"/>
      <c r="F250" s="50"/>
      <c r="G250" s="13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spans="1:26" ht="11.25" customHeight="1">
      <c r="A251" s="50"/>
      <c r="B251" s="50"/>
      <c r="C251" s="50"/>
      <c r="D251" s="50"/>
      <c r="E251" s="50"/>
      <c r="F251" s="50"/>
      <c r="G251" s="13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spans="1:26" ht="11.25" customHeight="1">
      <c r="A252" s="50"/>
      <c r="B252" s="50"/>
      <c r="C252" s="50"/>
      <c r="D252" s="50"/>
      <c r="E252" s="50"/>
      <c r="F252" s="50"/>
      <c r="G252" s="13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spans="1:26" ht="11.25" customHeight="1">
      <c r="A253" s="50"/>
      <c r="B253" s="50"/>
      <c r="C253" s="50"/>
      <c r="D253" s="50"/>
      <c r="E253" s="50"/>
      <c r="F253" s="50"/>
      <c r="G253" s="13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spans="1:26" ht="11.25" customHeight="1">
      <c r="A254" s="50"/>
      <c r="B254" s="50"/>
      <c r="C254" s="50"/>
      <c r="D254" s="50"/>
      <c r="E254" s="50"/>
      <c r="F254" s="50"/>
      <c r="G254" s="13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spans="1:26" ht="11.25" customHeight="1">
      <c r="A255" s="50"/>
      <c r="B255" s="50"/>
      <c r="C255" s="50"/>
      <c r="D255" s="50"/>
      <c r="E255" s="50"/>
      <c r="F255" s="50"/>
      <c r="G255" s="13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spans="1:26" ht="11.25" customHeight="1">
      <c r="A256" s="50"/>
      <c r="B256" s="50"/>
      <c r="C256" s="50"/>
      <c r="D256" s="50"/>
      <c r="E256" s="50"/>
      <c r="F256" s="50"/>
      <c r="G256" s="13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spans="1:26" ht="11.25" customHeight="1">
      <c r="A257" s="50"/>
      <c r="B257" s="50"/>
      <c r="C257" s="50"/>
      <c r="D257" s="50"/>
      <c r="E257" s="50"/>
      <c r="F257" s="50"/>
      <c r="G257" s="13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spans="1:26" ht="11.25" customHeight="1">
      <c r="A258" s="50"/>
      <c r="B258" s="50"/>
      <c r="C258" s="50"/>
      <c r="D258" s="50"/>
      <c r="E258" s="50"/>
      <c r="F258" s="50"/>
      <c r="G258" s="13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spans="1:26" ht="11.25" customHeight="1">
      <c r="A259" s="50"/>
      <c r="B259" s="50"/>
      <c r="C259" s="50"/>
      <c r="D259" s="50"/>
      <c r="E259" s="50"/>
      <c r="F259" s="50"/>
      <c r="G259" s="13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spans="1:26" ht="11.25" customHeight="1">
      <c r="A260" s="50"/>
      <c r="B260" s="50"/>
      <c r="C260" s="50"/>
      <c r="D260" s="50"/>
      <c r="E260" s="50"/>
      <c r="F260" s="50"/>
      <c r="G260" s="13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spans="1:26" ht="11.25" customHeight="1">
      <c r="A261" s="50"/>
      <c r="B261" s="50"/>
      <c r="C261" s="50"/>
      <c r="D261" s="50"/>
      <c r="E261" s="50"/>
      <c r="F261" s="50"/>
      <c r="G261" s="13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spans="1:26" ht="11.25" customHeight="1">
      <c r="A262" s="50"/>
      <c r="B262" s="50"/>
      <c r="C262" s="50"/>
      <c r="D262" s="50"/>
      <c r="E262" s="50"/>
      <c r="F262" s="50"/>
      <c r="G262" s="13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spans="1:26" ht="11.25" customHeight="1">
      <c r="A263" s="50"/>
      <c r="B263" s="50"/>
      <c r="C263" s="50"/>
      <c r="D263" s="50"/>
      <c r="E263" s="50"/>
      <c r="F263" s="50"/>
      <c r="G263" s="13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spans="1:26" ht="11.25" customHeight="1">
      <c r="A264" s="50"/>
      <c r="B264" s="50"/>
      <c r="C264" s="50"/>
      <c r="D264" s="50"/>
      <c r="E264" s="50"/>
      <c r="F264" s="50"/>
      <c r="G264" s="13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spans="1:26" ht="11.25" customHeight="1">
      <c r="A265" s="50"/>
      <c r="B265" s="50"/>
      <c r="C265" s="50"/>
      <c r="D265" s="50"/>
      <c r="E265" s="50"/>
      <c r="F265" s="50"/>
      <c r="G265" s="13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spans="1:26" ht="11.25" customHeight="1">
      <c r="A266" s="50"/>
      <c r="B266" s="50"/>
      <c r="C266" s="50"/>
      <c r="D266" s="50"/>
      <c r="E266" s="50"/>
      <c r="F266" s="50"/>
      <c r="G266" s="13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spans="1:26" ht="11.25" customHeight="1">
      <c r="A267" s="50"/>
      <c r="B267" s="50"/>
      <c r="C267" s="50"/>
      <c r="D267" s="50"/>
      <c r="E267" s="50"/>
      <c r="F267" s="50"/>
      <c r="G267" s="13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spans="1:26" ht="11.25" customHeight="1">
      <c r="A268" s="50"/>
      <c r="B268" s="50"/>
      <c r="C268" s="50"/>
      <c r="D268" s="50"/>
      <c r="E268" s="50"/>
      <c r="F268" s="50"/>
      <c r="G268" s="13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spans="1:26" ht="11.25" customHeight="1">
      <c r="A269" s="50"/>
      <c r="B269" s="50"/>
      <c r="C269" s="50"/>
      <c r="D269" s="50"/>
      <c r="E269" s="50"/>
      <c r="F269" s="50"/>
      <c r="G269" s="13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spans="1:26" ht="11.25" customHeight="1">
      <c r="A270" s="50"/>
      <c r="B270" s="50"/>
      <c r="C270" s="50"/>
      <c r="D270" s="50"/>
      <c r="E270" s="50"/>
      <c r="F270" s="50"/>
      <c r="G270" s="13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spans="1:26" ht="11.25" customHeight="1">
      <c r="A271" s="50"/>
      <c r="B271" s="50"/>
      <c r="C271" s="50"/>
      <c r="D271" s="50"/>
      <c r="E271" s="50"/>
      <c r="F271" s="50"/>
      <c r="G271" s="13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spans="1:26" ht="11.25" customHeight="1">
      <c r="A272" s="50"/>
      <c r="B272" s="50"/>
      <c r="C272" s="50"/>
      <c r="D272" s="50"/>
      <c r="E272" s="50"/>
      <c r="F272" s="50"/>
      <c r="G272" s="13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 spans="1:26" ht="11.25" customHeight="1">
      <c r="A273" s="50"/>
      <c r="B273" s="50"/>
      <c r="C273" s="50"/>
      <c r="D273" s="50"/>
      <c r="E273" s="50"/>
      <c r="F273" s="50"/>
      <c r="G273" s="13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 spans="1:26" ht="11.25" customHeight="1">
      <c r="A274" s="50"/>
      <c r="B274" s="50"/>
      <c r="C274" s="50"/>
      <c r="D274" s="50"/>
      <c r="E274" s="50"/>
      <c r="F274" s="50"/>
      <c r="G274" s="13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 spans="1:26" ht="11.25" customHeight="1">
      <c r="A275" s="50"/>
      <c r="B275" s="50"/>
      <c r="C275" s="50"/>
      <c r="D275" s="50"/>
      <c r="E275" s="50"/>
      <c r="F275" s="50"/>
      <c r="G275" s="13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 spans="1:26" ht="11.25" customHeight="1">
      <c r="A276" s="50"/>
      <c r="B276" s="50"/>
      <c r="C276" s="50"/>
      <c r="D276" s="50"/>
      <c r="E276" s="50"/>
      <c r="F276" s="50"/>
      <c r="G276" s="13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 spans="1:26" ht="11.25" customHeight="1">
      <c r="A277" s="50"/>
      <c r="B277" s="50"/>
      <c r="C277" s="50"/>
      <c r="D277" s="50"/>
      <c r="E277" s="50"/>
      <c r="F277" s="50"/>
      <c r="G277" s="13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 spans="1:26" ht="11.25" customHeight="1">
      <c r="A278" s="50"/>
      <c r="B278" s="50"/>
      <c r="C278" s="50"/>
      <c r="D278" s="50"/>
      <c r="E278" s="50"/>
      <c r="F278" s="50"/>
      <c r="G278" s="13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 spans="1:26" ht="11.25" customHeight="1">
      <c r="A279" s="50"/>
      <c r="B279" s="50"/>
      <c r="C279" s="50"/>
      <c r="D279" s="50"/>
      <c r="E279" s="50"/>
      <c r="F279" s="50"/>
      <c r="G279" s="13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 spans="1:26" ht="11.25" customHeight="1">
      <c r="A280" s="50"/>
      <c r="B280" s="50"/>
      <c r="C280" s="50"/>
      <c r="D280" s="50"/>
      <c r="E280" s="50"/>
      <c r="F280" s="50"/>
      <c r="G280" s="13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 spans="1:26" ht="11.25" customHeight="1">
      <c r="A281" s="50"/>
      <c r="B281" s="50"/>
      <c r="C281" s="50"/>
      <c r="D281" s="50"/>
      <c r="E281" s="50"/>
      <c r="F281" s="50"/>
      <c r="G281" s="13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 spans="1:26" ht="11.25" customHeight="1">
      <c r="A282" s="50"/>
      <c r="B282" s="50"/>
      <c r="C282" s="50"/>
      <c r="D282" s="50"/>
      <c r="E282" s="50"/>
      <c r="F282" s="50"/>
      <c r="G282" s="13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 spans="1:26" ht="11.25" customHeight="1">
      <c r="A283" s="50"/>
      <c r="B283" s="50"/>
      <c r="C283" s="50"/>
      <c r="D283" s="50"/>
      <c r="E283" s="50"/>
      <c r="F283" s="50"/>
      <c r="G283" s="13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 spans="1:26" ht="11.25" customHeight="1">
      <c r="A284" s="50"/>
      <c r="B284" s="50"/>
      <c r="C284" s="50"/>
      <c r="D284" s="50"/>
      <c r="E284" s="50"/>
      <c r="F284" s="50"/>
      <c r="G284" s="13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 spans="1:26" ht="11.25" customHeight="1">
      <c r="A285" s="50"/>
      <c r="B285" s="50"/>
      <c r="C285" s="50"/>
      <c r="D285" s="50"/>
      <c r="E285" s="50"/>
      <c r="F285" s="50"/>
      <c r="G285" s="13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spans="1:26" ht="11.25" customHeight="1">
      <c r="A286" s="50"/>
      <c r="B286" s="50"/>
      <c r="C286" s="50"/>
      <c r="D286" s="50"/>
      <c r="E286" s="50"/>
      <c r="F286" s="50"/>
      <c r="G286" s="13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 spans="1:26" ht="11.25" customHeight="1">
      <c r="A287" s="50"/>
      <c r="B287" s="50"/>
      <c r="C287" s="50"/>
      <c r="D287" s="50"/>
      <c r="E287" s="50"/>
      <c r="F287" s="50"/>
      <c r="G287" s="13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 spans="1:26" ht="11.25" customHeight="1">
      <c r="A288" s="50"/>
      <c r="B288" s="50"/>
      <c r="C288" s="50"/>
      <c r="D288" s="50"/>
      <c r="E288" s="50"/>
      <c r="F288" s="50"/>
      <c r="G288" s="13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 spans="1:26" ht="11.25" customHeight="1">
      <c r="A289" s="50"/>
      <c r="B289" s="50"/>
      <c r="C289" s="50"/>
      <c r="D289" s="50"/>
      <c r="E289" s="50"/>
      <c r="F289" s="50"/>
      <c r="G289" s="13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 spans="1:26" ht="11.25" customHeight="1">
      <c r="A290" s="50"/>
      <c r="B290" s="50"/>
      <c r="C290" s="50"/>
      <c r="D290" s="50"/>
      <c r="E290" s="50"/>
      <c r="F290" s="50"/>
      <c r="G290" s="13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 spans="1:26" ht="11.25" customHeight="1">
      <c r="A291" s="50"/>
      <c r="B291" s="50"/>
      <c r="C291" s="50"/>
      <c r="D291" s="50"/>
      <c r="E291" s="50"/>
      <c r="F291" s="50"/>
      <c r="G291" s="13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 spans="1:26" ht="11.25" customHeight="1">
      <c r="A292" s="50"/>
      <c r="B292" s="50"/>
      <c r="C292" s="50"/>
      <c r="D292" s="50"/>
      <c r="E292" s="50"/>
      <c r="F292" s="50"/>
      <c r="G292" s="13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 spans="1:26" ht="11.25" customHeight="1">
      <c r="A293" s="50"/>
      <c r="B293" s="50"/>
      <c r="C293" s="50"/>
      <c r="D293" s="50"/>
      <c r="E293" s="50"/>
      <c r="F293" s="50"/>
      <c r="G293" s="13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 spans="1:26" ht="11.25" customHeight="1">
      <c r="A294" s="50"/>
      <c r="B294" s="50"/>
      <c r="C294" s="50"/>
      <c r="D294" s="50"/>
      <c r="E294" s="50"/>
      <c r="F294" s="50"/>
      <c r="G294" s="13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 spans="1:26" ht="11.25" customHeight="1">
      <c r="A295" s="50"/>
      <c r="B295" s="50"/>
      <c r="C295" s="50"/>
      <c r="D295" s="50"/>
      <c r="E295" s="50"/>
      <c r="F295" s="50"/>
      <c r="G295" s="13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 spans="1:26" ht="11.25" customHeight="1">
      <c r="A296" s="50"/>
      <c r="B296" s="50"/>
      <c r="C296" s="50"/>
      <c r="D296" s="50"/>
      <c r="E296" s="50"/>
      <c r="F296" s="50"/>
      <c r="G296" s="13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 spans="1:26" ht="11.25" customHeight="1">
      <c r="A297" s="50"/>
      <c r="B297" s="50"/>
      <c r="C297" s="50"/>
      <c r="D297" s="50"/>
      <c r="E297" s="50"/>
      <c r="F297" s="50"/>
      <c r="G297" s="13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 spans="1:26" ht="11.25" customHeight="1">
      <c r="A298" s="50"/>
      <c r="B298" s="50"/>
      <c r="C298" s="50"/>
      <c r="D298" s="50"/>
      <c r="E298" s="50"/>
      <c r="F298" s="50"/>
      <c r="G298" s="13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 spans="1:26" ht="11.25" customHeight="1">
      <c r="A299" s="50"/>
      <c r="B299" s="50"/>
      <c r="C299" s="50"/>
      <c r="D299" s="50"/>
      <c r="E299" s="50"/>
      <c r="F299" s="50"/>
      <c r="G299" s="13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 spans="1:26" ht="11.25" customHeight="1">
      <c r="A300" s="50"/>
      <c r="B300" s="50"/>
      <c r="C300" s="50"/>
      <c r="D300" s="50"/>
      <c r="E300" s="50"/>
      <c r="F300" s="50"/>
      <c r="G300" s="13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 spans="1:26" ht="11.25" customHeight="1">
      <c r="A301" s="50"/>
      <c r="B301" s="50"/>
      <c r="C301" s="50"/>
      <c r="D301" s="50"/>
      <c r="E301" s="50"/>
      <c r="F301" s="50"/>
      <c r="G301" s="13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 spans="1:26" ht="11.25" customHeight="1">
      <c r="A302" s="50"/>
      <c r="B302" s="50"/>
      <c r="C302" s="50"/>
      <c r="D302" s="50"/>
      <c r="E302" s="50"/>
      <c r="F302" s="50"/>
      <c r="G302" s="13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 spans="1:26" ht="11.25" customHeight="1">
      <c r="A303" s="50"/>
      <c r="B303" s="50"/>
      <c r="C303" s="50"/>
      <c r="D303" s="50"/>
      <c r="E303" s="50"/>
      <c r="F303" s="50"/>
      <c r="G303" s="13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 spans="1:26" ht="11.25" customHeight="1">
      <c r="A304" s="50"/>
      <c r="B304" s="50"/>
      <c r="C304" s="50"/>
      <c r="D304" s="50"/>
      <c r="E304" s="50"/>
      <c r="F304" s="50"/>
      <c r="G304" s="13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 spans="1:26" ht="11.25" customHeight="1">
      <c r="A305" s="50"/>
      <c r="B305" s="50"/>
      <c r="C305" s="50"/>
      <c r="D305" s="50"/>
      <c r="E305" s="50"/>
      <c r="F305" s="50"/>
      <c r="G305" s="13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spans="1:26" ht="11.25" customHeight="1">
      <c r="A306" s="50"/>
      <c r="B306" s="50"/>
      <c r="C306" s="50"/>
      <c r="D306" s="50"/>
      <c r="E306" s="50"/>
      <c r="F306" s="50"/>
      <c r="G306" s="13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spans="1:26" ht="11.25" customHeight="1">
      <c r="A307" s="50"/>
      <c r="B307" s="50"/>
      <c r="C307" s="50"/>
      <c r="D307" s="50"/>
      <c r="E307" s="50"/>
      <c r="F307" s="50"/>
      <c r="G307" s="13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 spans="1:26" ht="11.25" customHeight="1">
      <c r="A308" s="50"/>
      <c r="B308" s="50"/>
      <c r="C308" s="50"/>
      <c r="D308" s="50"/>
      <c r="E308" s="50"/>
      <c r="F308" s="50"/>
      <c r="G308" s="13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 spans="1:26" ht="11.25" customHeight="1">
      <c r="A309" s="50"/>
      <c r="B309" s="50"/>
      <c r="C309" s="50"/>
      <c r="D309" s="50"/>
      <c r="E309" s="50"/>
      <c r="F309" s="50"/>
      <c r="G309" s="13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 spans="1:26" ht="11.25" customHeight="1">
      <c r="A310" s="50"/>
      <c r="B310" s="50"/>
      <c r="C310" s="50"/>
      <c r="D310" s="50"/>
      <c r="E310" s="50"/>
      <c r="F310" s="50"/>
      <c r="G310" s="13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 spans="1:26" ht="11.25" customHeight="1">
      <c r="A311" s="50"/>
      <c r="B311" s="50"/>
      <c r="C311" s="50"/>
      <c r="D311" s="50"/>
      <c r="E311" s="50"/>
      <c r="F311" s="50"/>
      <c r="G311" s="13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 spans="1:26" ht="11.25" customHeight="1">
      <c r="A312" s="50"/>
      <c r="B312" s="50"/>
      <c r="C312" s="50"/>
      <c r="D312" s="50"/>
      <c r="E312" s="50"/>
      <c r="F312" s="50"/>
      <c r="G312" s="13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 spans="1:26" ht="11.25" customHeight="1">
      <c r="A313" s="50"/>
      <c r="B313" s="50"/>
      <c r="C313" s="50"/>
      <c r="D313" s="50"/>
      <c r="E313" s="50"/>
      <c r="F313" s="50"/>
      <c r="G313" s="13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 spans="1:26" ht="11.25" customHeight="1">
      <c r="A314" s="50"/>
      <c r="B314" s="50"/>
      <c r="C314" s="50"/>
      <c r="D314" s="50"/>
      <c r="E314" s="50"/>
      <c r="F314" s="50"/>
      <c r="G314" s="13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 spans="1:26" ht="11.25" customHeight="1">
      <c r="A315" s="50"/>
      <c r="B315" s="50"/>
      <c r="C315" s="50"/>
      <c r="D315" s="50"/>
      <c r="E315" s="50"/>
      <c r="F315" s="50"/>
      <c r="G315" s="13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 spans="1:26" ht="11.25" customHeight="1">
      <c r="A316" s="50"/>
      <c r="B316" s="50"/>
      <c r="C316" s="50"/>
      <c r="D316" s="50"/>
      <c r="E316" s="50"/>
      <c r="F316" s="50"/>
      <c r="G316" s="13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 spans="1:26" ht="11.25" customHeight="1">
      <c r="A317" s="50"/>
      <c r="B317" s="50"/>
      <c r="C317" s="50"/>
      <c r="D317" s="50"/>
      <c r="E317" s="50"/>
      <c r="F317" s="50"/>
      <c r="G317" s="13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 spans="1:26" ht="11.25" customHeight="1">
      <c r="A318" s="50"/>
      <c r="B318" s="50"/>
      <c r="C318" s="50"/>
      <c r="D318" s="50"/>
      <c r="E318" s="50"/>
      <c r="F318" s="50"/>
      <c r="G318" s="13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 spans="1:26" ht="11.25" customHeight="1">
      <c r="A319" s="50"/>
      <c r="B319" s="50"/>
      <c r="C319" s="50"/>
      <c r="D319" s="50"/>
      <c r="E319" s="50"/>
      <c r="F319" s="50"/>
      <c r="G319" s="13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 spans="1:26" ht="11.25" customHeight="1">
      <c r="A320" s="50"/>
      <c r="B320" s="50"/>
      <c r="C320" s="50"/>
      <c r="D320" s="50"/>
      <c r="E320" s="50"/>
      <c r="F320" s="50"/>
      <c r="G320" s="13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 spans="1:26" ht="11.25" customHeight="1">
      <c r="A321" s="50"/>
      <c r="B321" s="50"/>
      <c r="C321" s="50"/>
      <c r="D321" s="50"/>
      <c r="E321" s="50"/>
      <c r="F321" s="50"/>
      <c r="G321" s="13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 spans="1:26" ht="11.25" customHeight="1">
      <c r="A322" s="50"/>
      <c r="B322" s="50"/>
      <c r="C322" s="50"/>
      <c r="D322" s="50"/>
      <c r="E322" s="50"/>
      <c r="F322" s="50"/>
      <c r="G322" s="13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 spans="1:26" ht="11.25" customHeight="1">
      <c r="A323" s="50"/>
      <c r="B323" s="50"/>
      <c r="C323" s="50"/>
      <c r="D323" s="50"/>
      <c r="E323" s="50"/>
      <c r="F323" s="50"/>
      <c r="G323" s="13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 spans="1:26" ht="11.25" customHeight="1">
      <c r="A324" s="50"/>
      <c r="B324" s="50"/>
      <c r="C324" s="50"/>
      <c r="D324" s="50"/>
      <c r="E324" s="50"/>
      <c r="F324" s="50"/>
      <c r="G324" s="13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 spans="1:26" ht="11.25" customHeight="1">
      <c r="A325" s="50"/>
      <c r="B325" s="50"/>
      <c r="C325" s="50"/>
      <c r="D325" s="50"/>
      <c r="E325" s="50"/>
      <c r="F325" s="50"/>
      <c r="G325" s="13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 spans="1:26" ht="11.25" customHeight="1">
      <c r="A326" s="50"/>
      <c r="B326" s="50"/>
      <c r="C326" s="50"/>
      <c r="D326" s="50"/>
      <c r="E326" s="50"/>
      <c r="F326" s="50"/>
      <c r="G326" s="13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 spans="1:26" ht="11.25" customHeight="1">
      <c r="A327" s="50"/>
      <c r="B327" s="50"/>
      <c r="C327" s="50"/>
      <c r="D327" s="50"/>
      <c r="E327" s="50"/>
      <c r="F327" s="50"/>
      <c r="G327" s="13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 spans="1:26" ht="11.25" customHeight="1">
      <c r="A328" s="50"/>
      <c r="B328" s="50"/>
      <c r="C328" s="50"/>
      <c r="D328" s="50"/>
      <c r="E328" s="50"/>
      <c r="F328" s="50"/>
      <c r="G328" s="13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 spans="1:26" ht="11.25" customHeight="1">
      <c r="A329" s="50"/>
      <c r="B329" s="50"/>
      <c r="C329" s="50"/>
      <c r="D329" s="50"/>
      <c r="E329" s="50"/>
      <c r="F329" s="50"/>
      <c r="G329" s="13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 spans="1:26" ht="11.25" customHeight="1">
      <c r="A330" s="50"/>
      <c r="B330" s="50"/>
      <c r="C330" s="50"/>
      <c r="D330" s="50"/>
      <c r="E330" s="50"/>
      <c r="F330" s="50"/>
      <c r="G330" s="13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 spans="1:26" ht="11.25" customHeight="1">
      <c r="A331" s="50"/>
      <c r="B331" s="50"/>
      <c r="C331" s="50"/>
      <c r="D331" s="50"/>
      <c r="E331" s="50"/>
      <c r="F331" s="50"/>
      <c r="G331" s="13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 spans="1:26" ht="11.25" customHeight="1">
      <c r="A332" s="50"/>
      <c r="B332" s="50"/>
      <c r="C332" s="50"/>
      <c r="D332" s="50"/>
      <c r="E332" s="50"/>
      <c r="F332" s="50"/>
      <c r="G332" s="13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 spans="1:26" ht="11.25" customHeight="1">
      <c r="A333" s="50"/>
      <c r="B333" s="50"/>
      <c r="C333" s="50"/>
      <c r="D333" s="50"/>
      <c r="E333" s="50"/>
      <c r="F333" s="50"/>
      <c r="G333" s="13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 spans="1:26" ht="11.25" customHeight="1">
      <c r="A334" s="50"/>
      <c r="B334" s="50"/>
      <c r="C334" s="50"/>
      <c r="D334" s="50"/>
      <c r="E334" s="50"/>
      <c r="F334" s="50"/>
      <c r="G334" s="13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 spans="1:26" ht="11.25" customHeight="1">
      <c r="A335" s="50"/>
      <c r="B335" s="50"/>
      <c r="C335" s="50"/>
      <c r="D335" s="50"/>
      <c r="E335" s="50"/>
      <c r="F335" s="50"/>
      <c r="G335" s="13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 spans="1:26" ht="11.25" customHeight="1">
      <c r="A336" s="50"/>
      <c r="B336" s="50"/>
      <c r="C336" s="50"/>
      <c r="D336" s="50"/>
      <c r="E336" s="50"/>
      <c r="F336" s="50"/>
      <c r="G336" s="13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 spans="1:26" ht="11.25" customHeight="1">
      <c r="A337" s="50"/>
      <c r="B337" s="50"/>
      <c r="C337" s="50"/>
      <c r="D337" s="50"/>
      <c r="E337" s="50"/>
      <c r="F337" s="50"/>
      <c r="G337" s="13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 spans="1:26" ht="11.25" customHeight="1">
      <c r="A338" s="50"/>
      <c r="B338" s="50"/>
      <c r="C338" s="50"/>
      <c r="D338" s="50"/>
      <c r="E338" s="50"/>
      <c r="F338" s="50"/>
      <c r="G338" s="13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 spans="1:26" ht="11.25" customHeight="1">
      <c r="A339" s="50"/>
      <c r="B339" s="50"/>
      <c r="C339" s="50"/>
      <c r="D339" s="50"/>
      <c r="E339" s="50"/>
      <c r="F339" s="50"/>
      <c r="G339" s="13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 spans="1:26" ht="11.25" customHeight="1">
      <c r="A340" s="50"/>
      <c r="B340" s="50"/>
      <c r="C340" s="50"/>
      <c r="D340" s="50"/>
      <c r="E340" s="50"/>
      <c r="F340" s="50"/>
      <c r="G340" s="13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 spans="1:26" ht="11.25" customHeight="1">
      <c r="A341" s="50"/>
      <c r="B341" s="50"/>
      <c r="C341" s="50"/>
      <c r="D341" s="50"/>
      <c r="E341" s="50"/>
      <c r="F341" s="50"/>
      <c r="G341" s="13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 spans="1:26" ht="11.25" customHeight="1">
      <c r="A342" s="50"/>
      <c r="B342" s="50"/>
      <c r="C342" s="50"/>
      <c r="D342" s="50"/>
      <c r="E342" s="50"/>
      <c r="F342" s="50"/>
      <c r="G342" s="13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 spans="1:26" ht="11.25" customHeight="1">
      <c r="A343" s="50"/>
      <c r="B343" s="50"/>
      <c r="C343" s="50"/>
      <c r="D343" s="50"/>
      <c r="E343" s="50"/>
      <c r="F343" s="50"/>
      <c r="G343" s="13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 spans="1:26" ht="11.25" customHeight="1">
      <c r="A344" s="50"/>
      <c r="B344" s="50"/>
      <c r="C344" s="50"/>
      <c r="D344" s="50"/>
      <c r="E344" s="50"/>
      <c r="F344" s="50"/>
      <c r="G344" s="13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 spans="1:26" ht="11.25" customHeight="1">
      <c r="A345" s="50"/>
      <c r="B345" s="50"/>
      <c r="C345" s="50"/>
      <c r="D345" s="50"/>
      <c r="E345" s="50"/>
      <c r="F345" s="50"/>
      <c r="G345" s="13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 spans="1:26" ht="11.25" customHeight="1">
      <c r="A346" s="50"/>
      <c r="B346" s="50"/>
      <c r="C346" s="50"/>
      <c r="D346" s="50"/>
      <c r="E346" s="50"/>
      <c r="F346" s="50"/>
      <c r="G346" s="13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 spans="1:26" ht="11.25" customHeight="1">
      <c r="A347" s="50"/>
      <c r="B347" s="50"/>
      <c r="C347" s="50"/>
      <c r="D347" s="50"/>
      <c r="E347" s="50"/>
      <c r="F347" s="50"/>
      <c r="G347" s="13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 spans="1:26" ht="11.25" customHeight="1">
      <c r="A348" s="50"/>
      <c r="B348" s="50"/>
      <c r="C348" s="50"/>
      <c r="D348" s="50"/>
      <c r="E348" s="50"/>
      <c r="F348" s="50"/>
      <c r="G348" s="13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 spans="1:26" ht="11.25" customHeight="1">
      <c r="A349" s="50"/>
      <c r="B349" s="50"/>
      <c r="C349" s="50"/>
      <c r="D349" s="50"/>
      <c r="E349" s="50"/>
      <c r="F349" s="50"/>
      <c r="G349" s="13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 spans="1:26" ht="11.25" customHeight="1">
      <c r="A350" s="50"/>
      <c r="B350" s="50"/>
      <c r="C350" s="50"/>
      <c r="D350" s="50"/>
      <c r="E350" s="50"/>
      <c r="F350" s="50"/>
      <c r="G350" s="13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 spans="1:26" ht="11.25" customHeight="1">
      <c r="A351" s="50"/>
      <c r="B351" s="50"/>
      <c r="C351" s="50"/>
      <c r="D351" s="50"/>
      <c r="E351" s="50"/>
      <c r="F351" s="50"/>
      <c r="G351" s="13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 spans="1:26" ht="11.25" customHeight="1">
      <c r="A352" s="50"/>
      <c r="B352" s="50"/>
      <c r="C352" s="50"/>
      <c r="D352" s="50"/>
      <c r="E352" s="50"/>
      <c r="F352" s="50"/>
      <c r="G352" s="13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 spans="1:26" ht="11.25" customHeight="1">
      <c r="A353" s="50"/>
      <c r="B353" s="50"/>
      <c r="C353" s="50"/>
      <c r="D353" s="50"/>
      <c r="E353" s="50"/>
      <c r="F353" s="50"/>
      <c r="G353" s="13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 spans="1:26" ht="11.25" customHeight="1">
      <c r="A354" s="50"/>
      <c r="B354" s="50"/>
      <c r="C354" s="50"/>
      <c r="D354" s="50"/>
      <c r="E354" s="50"/>
      <c r="F354" s="50"/>
      <c r="G354" s="13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 spans="1:26" ht="11.25" customHeight="1">
      <c r="A355" s="50"/>
      <c r="B355" s="50"/>
      <c r="C355" s="50"/>
      <c r="D355" s="50"/>
      <c r="E355" s="50"/>
      <c r="F355" s="50"/>
      <c r="G355" s="13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 spans="1:26" ht="11.25" customHeight="1">
      <c r="A356" s="50"/>
      <c r="B356" s="50"/>
      <c r="C356" s="50"/>
      <c r="D356" s="50"/>
      <c r="E356" s="50"/>
      <c r="F356" s="50"/>
      <c r="G356" s="13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 spans="1:26" ht="11.25" customHeight="1">
      <c r="A357" s="50"/>
      <c r="B357" s="50"/>
      <c r="C357" s="50"/>
      <c r="D357" s="50"/>
      <c r="E357" s="50"/>
      <c r="F357" s="50"/>
      <c r="G357" s="13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 spans="1:26" ht="11.25" customHeight="1">
      <c r="A358" s="50"/>
      <c r="B358" s="50"/>
      <c r="C358" s="50"/>
      <c r="D358" s="50"/>
      <c r="E358" s="50"/>
      <c r="F358" s="50"/>
      <c r="G358" s="13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 spans="1:26" ht="11.25" customHeight="1">
      <c r="A359" s="50"/>
      <c r="B359" s="50"/>
      <c r="C359" s="50"/>
      <c r="D359" s="50"/>
      <c r="E359" s="50"/>
      <c r="F359" s="50"/>
      <c r="G359" s="13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 spans="1:26" ht="11.25" customHeight="1">
      <c r="A360" s="50"/>
      <c r="B360" s="50"/>
      <c r="C360" s="50"/>
      <c r="D360" s="50"/>
      <c r="E360" s="50"/>
      <c r="F360" s="50"/>
      <c r="G360" s="13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 spans="1:26" ht="11.25" customHeight="1">
      <c r="A361" s="50"/>
      <c r="B361" s="50"/>
      <c r="C361" s="50"/>
      <c r="D361" s="50"/>
      <c r="E361" s="50"/>
      <c r="F361" s="50"/>
      <c r="G361" s="13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 spans="1:26" ht="11.25" customHeight="1">
      <c r="A362" s="50"/>
      <c r="B362" s="50"/>
      <c r="C362" s="50"/>
      <c r="D362" s="50"/>
      <c r="E362" s="50"/>
      <c r="F362" s="50"/>
      <c r="G362" s="13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 spans="1:26" ht="11.25" customHeight="1">
      <c r="A363" s="50"/>
      <c r="B363" s="50"/>
      <c r="C363" s="50"/>
      <c r="D363" s="50"/>
      <c r="E363" s="50"/>
      <c r="F363" s="50"/>
      <c r="G363" s="13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 spans="1:26" ht="11.25" customHeight="1">
      <c r="A364" s="50"/>
      <c r="B364" s="50"/>
      <c r="C364" s="50"/>
      <c r="D364" s="50"/>
      <c r="E364" s="50"/>
      <c r="F364" s="50"/>
      <c r="G364" s="13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 spans="1:26" ht="11.25" customHeight="1">
      <c r="A365" s="50"/>
      <c r="B365" s="50"/>
      <c r="C365" s="50"/>
      <c r="D365" s="50"/>
      <c r="E365" s="50"/>
      <c r="F365" s="50"/>
      <c r="G365" s="13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 spans="1:26" ht="11.25" customHeight="1">
      <c r="A366" s="50"/>
      <c r="B366" s="50"/>
      <c r="C366" s="50"/>
      <c r="D366" s="50"/>
      <c r="E366" s="50"/>
      <c r="F366" s="50"/>
      <c r="G366" s="13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 spans="1:26" ht="11.25" customHeight="1">
      <c r="A367" s="50"/>
      <c r="B367" s="50"/>
      <c r="C367" s="50"/>
      <c r="D367" s="50"/>
      <c r="E367" s="50"/>
      <c r="F367" s="50"/>
      <c r="G367" s="13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 spans="1:26" ht="11.25" customHeight="1">
      <c r="A368" s="50"/>
      <c r="B368" s="50"/>
      <c r="C368" s="50"/>
      <c r="D368" s="50"/>
      <c r="E368" s="50"/>
      <c r="F368" s="50"/>
      <c r="G368" s="13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 spans="1:26" ht="11.25" customHeight="1">
      <c r="A369" s="50"/>
      <c r="B369" s="50"/>
      <c r="C369" s="50"/>
      <c r="D369" s="50"/>
      <c r="E369" s="50"/>
      <c r="F369" s="50"/>
      <c r="G369" s="13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 spans="1:26" ht="11.25" customHeight="1">
      <c r="A370" s="50"/>
      <c r="B370" s="50"/>
      <c r="C370" s="50"/>
      <c r="D370" s="50"/>
      <c r="E370" s="50"/>
      <c r="F370" s="50"/>
      <c r="G370" s="13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 spans="1:26" ht="11.25" customHeight="1">
      <c r="A371" s="50"/>
      <c r="B371" s="50"/>
      <c r="C371" s="50"/>
      <c r="D371" s="50"/>
      <c r="E371" s="50"/>
      <c r="F371" s="50"/>
      <c r="G371" s="13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 spans="1:26" ht="11.25" customHeight="1">
      <c r="A372" s="50"/>
      <c r="B372" s="50"/>
      <c r="C372" s="50"/>
      <c r="D372" s="50"/>
      <c r="E372" s="50"/>
      <c r="F372" s="50"/>
      <c r="G372" s="13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 spans="1:26" ht="11.25" customHeight="1">
      <c r="A373" s="50"/>
      <c r="B373" s="50"/>
      <c r="C373" s="50"/>
      <c r="D373" s="50"/>
      <c r="E373" s="50"/>
      <c r="F373" s="50"/>
      <c r="G373" s="13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 spans="1:26" ht="11.25" customHeight="1">
      <c r="A374" s="50"/>
      <c r="B374" s="50"/>
      <c r="C374" s="50"/>
      <c r="D374" s="50"/>
      <c r="E374" s="50"/>
      <c r="F374" s="50"/>
      <c r="G374" s="13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 spans="1:26" ht="11.25" customHeight="1">
      <c r="A375" s="50"/>
      <c r="B375" s="50"/>
      <c r="C375" s="50"/>
      <c r="D375" s="50"/>
      <c r="E375" s="50"/>
      <c r="F375" s="50"/>
      <c r="G375" s="13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 spans="1:26" ht="11.25" customHeight="1">
      <c r="A376" s="50"/>
      <c r="B376" s="50"/>
      <c r="C376" s="50"/>
      <c r="D376" s="50"/>
      <c r="E376" s="50"/>
      <c r="F376" s="50"/>
      <c r="G376" s="13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 spans="1:26" ht="11.25" customHeight="1">
      <c r="A377" s="50"/>
      <c r="B377" s="50"/>
      <c r="C377" s="50"/>
      <c r="D377" s="50"/>
      <c r="E377" s="50"/>
      <c r="F377" s="50"/>
      <c r="G377" s="13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 spans="1:26" ht="11.25" customHeight="1">
      <c r="A378" s="50"/>
      <c r="B378" s="50"/>
      <c r="C378" s="50"/>
      <c r="D378" s="50"/>
      <c r="E378" s="50"/>
      <c r="F378" s="50"/>
      <c r="G378" s="13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 spans="1:26" ht="11.25" customHeight="1">
      <c r="A379" s="50"/>
      <c r="B379" s="50"/>
      <c r="C379" s="50"/>
      <c r="D379" s="50"/>
      <c r="E379" s="50"/>
      <c r="F379" s="50"/>
      <c r="G379" s="13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 spans="1:26" ht="11.25" customHeight="1">
      <c r="A380" s="50"/>
      <c r="B380" s="50"/>
      <c r="C380" s="50"/>
      <c r="D380" s="50"/>
      <c r="E380" s="50"/>
      <c r="F380" s="50"/>
      <c r="G380" s="13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 spans="1:26" ht="11.25" customHeight="1">
      <c r="A381" s="50"/>
      <c r="B381" s="50"/>
      <c r="C381" s="50"/>
      <c r="D381" s="50"/>
      <c r="E381" s="50"/>
      <c r="F381" s="50"/>
      <c r="G381" s="13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 spans="1:26" ht="11.25" customHeight="1">
      <c r="A382" s="50"/>
      <c r="B382" s="50"/>
      <c r="C382" s="50"/>
      <c r="D382" s="50"/>
      <c r="E382" s="50"/>
      <c r="F382" s="50"/>
      <c r="G382" s="13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 spans="1:26" ht="11.25" customHeight="1">
      <c r="A383" s="50"/>
      <c r="B383" s="50"/>
      <c r="C383" s="50"/>
      <c r="D383" s="50"/>
      <c r="E383" s="50"/>
      <c r="F383" s="50"/>
      <c r="G383" s="13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 spans="1:26" ht="11.25" customHeight="1">
      <c r="A384" s="50"/>
      <c r="B384" s="50"/>
      <c r="C384" s="50"/>
      <c r="D384" s="50"/>
      <c r="E384" s="50"/>
      <c r="F384" s="50"/>
      <c r="G384" s="13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 spans="1:26" ht="11.25" customHeight="1">
      <c r="A385" s="50"/>
      <c r="B385" s="50"/>
      <c r="C385" s="50"/>
      <c r="D385" s="50"/>
      <c r="E385" s="50"/>
      <c r="F385" s="50"/>
      <c r="G385" s="13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 spans="1:26" ht="11.25" customHeight="1">
      <c r="A386" s="50"/>
      <c r="B386" s="50"/>
      <c r="C386" s="50"/>
      <c r="D386" s="50"/>
      <c r="E386" s="50"/>
      <c r="F386" s="50"/>
      <c r="G386" s="13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 spans="1:26" ht="11.25" customHeight="1">
      <c r="A387" s="50"/>
      <c r="B387" s="50"/>
      <c r="C387" s="50"/>
      <c r="D387" s="50"/>
      <c r="E387" s="50"/>
      <c r="F387" s="50"/>
      <c r="G387" s="13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 spans="1:26" ht="11.25" customHeight="1">
      <c r="A388" s="50"/>
      <c r="B388" s="50"/>
      <c r="C388" s="50"/>
      <c r="D388" s="50"/>
      <c r="E388" s="50"/>
      <c r="F388" s="50"/>
      <c r="G388" s="13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 spans="1:26" ht="11.25" customHeight="1">
      <c r="A389" s="50"/>
      <c r="B389" s="50"/>
      <c r="C389" s="50"/>
      <c r="D389" s="50"/>
      <c r="E389" s="50"/>
      <c r="F389" s="50"/>
      <c r="G389" s="13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 spans="1:26" ht="11.25" customHeight="1">
      <c r="A390" s="50"/>
      <c r="B390" s="50"/>
      <c r="C390" s="50"/>
      <c r="D390" s="50"/>
      <c r="E390" s="50"/>
      <c r="F390" s="50"/>
      <c r="G390" s="13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 spans="1:26" ht="11.25" customHeight="1">
      <c r="A391" s="50"/>
      <c r="B391" s="50"/>
      <c r="C391" s="50"/>
      <c r="D391" s="50"/>
      <c r="E391" s="50"/>
      <c r="F391" s="50"/>
      <c r="G391" s="13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 spans="1:26" ht="11.25" customHeight="1">
      <c r="A392" s="50"/>
      <c r="B392" s="50"/>
      <c r="C392" s="50"/>
      <c r="D392" s="50"/>
      <c r="E392" s="50"/>
      <c r="F392" s="50"/>
      <c r="G392" s="13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 spans="1:26" ht="11.25" customHeight="1">
      <c r="A393" s="50"/>
      <c r="B393" s="50"/>
      <c r="C393" s="50"/>
      <c r="D393" s="50"/>
      <c r="E393" s="50"/>
      <c r="F393" s="50"/>
      <c r="G393" s="13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 spans="1:26" ht="11.25" customHeight="1">
      <c r="A394" s="50"/>
      <c r="B394" s="50"/>
      <c r="C394" s="50"/>
      <c r="D394" s="50"/>
      <c r="E394" s="50"/>
      <c r="F394" s="50"/>
      <c r="G394" s="13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 spans="1:26" ht="11.25" customHeight="1">
      <c r="A395" s="50"/>
      <c r="B395" s="50"/>
      <c r="C395" s="50"/>
      <c r="D395" s="50"/>
      <c r="E395" s="50"/>
      <c r="F395" s="50"/>
      <c r="G395" s="13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 spans="1:26" ht="11.25" customHeight="1">
      <c r="A396" s="50"/>
      <c r="B396" s="50"/>
      <c r="C396" s="50"/>
      <c r="D396" s="50"/>
      <c r="E396" s="50"/>
      <c r="F396" s="50"/>
      <c r="G396" s="13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 spans="1:26" ht="11.25" customHeight="1">
      <c r="A397" s="50"/>
      <c r="B397" s="50"/>
      <c r="C397" s="50"/>
      <c r="D397" s="50"/>
      <c r="E397" s="50"/>
      <c r="F397" s="50"/>
      <c r="G397" s="13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 spans="1:26" ht="11.25" customHeight="1">
      <c r="A398" s="50"/>
      <c r="B398" s="50"/>
      <c r="C398" s="50"/>
      <c r="D398" s="50"/>
      <c r="E398" s="50"/>
      <c r="F398" s="50"/>
      <c r="G398" s="13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 spans="1:26" ht="11.25" customHeight="1">
      <c r="A399" s="50"/>
      <c r="B399" s="50"/>
      <c r="C399" s="50"/>
      <c r="D399" s="50"/>
      <c r="E399" s="50"/>
      <c r="F399" s="50"/>
      <c r="G399" s="13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 spans="1:26" ht="11.25" customHeight="1">
      <c r="A400" s="50"/>
      <c r="B400" s="50"/>
      <c r="C400" s="50"/>
      <c r="D400" s="50"/>
      <c r="E400" s="50"/>
      <c r="F400" s="50"/>
      <c r="G400" s="13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 spans="1:26" ht="11.25" customHeight="1">
      <c r="A401" s="50"/>
      <c r="B401" s="50"/>
      <c r="C401" s="50"/>
      <c r="D401" s="50"/>
      <c r="E401" s="50"/>
      <c r="F401" s="50"/>
      <c r="G401" s="13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 spans="1:26" ht="11.25" customHeight="1">
      <c r="A402" s="50"/>
      <c r="B402" s="50"/>
      <c r="C402" s="50"/>
      <c r="D402" s="50"/>
      <c r="E402" s="50"/>
      <c r="F402" s="50"/>
      <c r="G402" s="13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 spans="1:26" ht="11.25" customHeight="1">
      <c r="A403" s="50"/>
      <c r="B403" s="50"/>
      <c r="C403" s="50"/>
      <c r="D403" s="50"/>
      <c r="E403" s="50"/>
      <c r="F403" s="50"/>
      <c r="G403" s="13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 spans="1:26" ht="11.25" customHeight="1">
      <c r="A404" s="50"/>
      <c r="B404" s="50"/>
      <c r="C404" s="50"/>
      <c r="D404" s="50"/>
      <c r="E404" s="50"/>
      <c r="F404" s="50"/>
      <c r="G404" s="13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 spans="1:26" ht="11.25" customHeight="1">
      <c r="A405" s="50"/>
      <c r="B405" s="50"/>
      <c r="C405" s="50"/>
      <c r="D405" s="50"/>
      <c r="E405" s="50"/>
      <c r="F405" s="50"/>
      <c r="G405" s="13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 spans="1:26" ht="11.25" customHeight="1">
      <c r="A406" s="50"/>
      <c r="B406" s="50"/>
      <c r="C406" s="50"/>
      <c r="D406" s="50"/>
      <c r="E406" s="50"/>
      <c r="F406" s="50"/>
      <c r="G406" s="13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 spans="1:26" ht="11.25" customHeight="1">
      <c r="A407" s="50"/>
      <c r="B407" s="50"/>
      <c r="C407" s="50"/>
      <c r="D407" s="50"/>
      <c r="E407" s="50"/>
      <c r="F407" s="50"/>
      <c r="G407" s="13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 spans="1:26" ht="11.25" customHeight="1">
      <c r="A408" s="50"/>
      <c r="B408" s="50"/>
      <c r="C408" s="50"/>
      <c r="D408" s="50"/>
      <c r="E408" s="50"/>
      <c r="F408" s="50"/>
      <c r="G408" s="13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 spans="1:26" ht="11.25" customHeight="1">
      <c r="A409" s="50"/>
      <c r="B409" s="50"/>
      <c r="C409" s="50"/>
      <c r="D409" s="50"/>
      <c r="E409" s="50"/>
      <c r="F409" s="50"/>
      <c r="G409" s="13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 spans="1:26" ht="11.25" customHeight="1">
      <c r="A410" s="50"/>
      <c r="B410" s="50"/>
      <c r="C410" s="50"/>
      <c r="D410" s="50"/>
      <c r="E410" s="50"/>
      <c r="F410" s="50"/>
      <c r="G410" s="13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 spans="1:26" ht="11.25" customHeight="1">
      <c r="A411" s="50"/>
      <c r="B411" s="50"/>
      <c r="C411" s="50"/>
      <c r="D411" s="50"/>
      <c r="E411" s="50"/>
      <c r="F411" s="50"/>
      <c r="G411" s="13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 spans="1:26" ht="11.25" customHeight="1">
      <c r="A412" s="50"/>
      <c r="B412" s="50"/>
      <c r="C412" s="50"/>
      <c r="D412" s="50"/>
      <c r="E412" s="50"/>
      <c r="F412" s="50"/>
      <c r="G412" s="13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 spans="1:26" ht="11.25" customHeight="1">
      <c r="A413" s="50"/>
      <c r="B413" s="50"/>
      <c r="C413" s="50"/>
      <c r="D413" s="50"/>
      <c r="E413" s="50"/>
      <c r="F413" s="50"/>
      <c r="G413" s="13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 spans="1:26" ht="11.25" customHeight="1">
      <c r="A414" s="50"/>
      <c r="B414" s="50"/>
      <c r="C414" s="50"/>
      <c r="D414" s="50"/>
      <c r="E414" s="50"/>
      <c r="F414" s="50"/>
      <c r="G414" s="13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 spans="1:26" ht="11.25" customHeight="1">
      <c r="A415" s="50"/>
      <c r="B415" s="50"/>
      <c r="C415" s="50"/>
      <c r="D415" s="50"/>
      <c r="E415" s="50"/>
      <c r="F415" s="50"/>
      <c r="G415" s="13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 spans="1:26" ht="11.25" customHeight="1">
      <c r="A416" s="50"/>
      <c r="B416" s="50"/>
      <c r="C416" s="50"/>
      <c r="D416" s="50"/>
      <c r="E416" s="50"/>
      <c r="F416" s="50"/>
      <c r="G416" s="13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 spans="1:26" ht="11.25" customHeight="1">
      <c r="A417" s="50"/>
      <c r="B417" s="50"/>
      <c r="C417" s="50"/>
      <c r="D417" s="50"/>
      <c r="E417" s="50"/>
      <c r="F417" s="50"/>
      <c r="G417" s="13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 spans="1:26" ht="11.25" customHeight="1">
      <c r="A418" s="50"/>
      <c r="B418" s="50"/>
      <c r="C418" s="50"/>
      <c r="D418" s="50"/>
      <c r="E418" s="50"/>
      <c r="F418" s="50"/>
      <c r="G418" s="13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 spans="1:26" ht="11.25" customHeight="1">
      <c r="A419" s="50"/>
      <c r="B419" s="50"/>
      <c r="C419" s="50"/>
      <c r="D419" s="50"/>
      <c r="E419" s="50"/>
      <c r="F419" s="50"/>
      <c r="G419" s="13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 spans="1:26" ht="11.25" customHeight="1">
      <c r="A420" s="50"/>
      <c r="B420" s="50"/>
      <c r="C420" s="50"/>
      <c r="D420" s="50"/>
      <c r="E420" s="50"/>
      <c r="F420" s="50"/>
      <c r="G420" s="13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 spans="1:26" ht="11.25" customHeight="1">
      <c r="A421" s="50"/>
      <c r="B421" s="50"/>
      <c r="C421" s="50"/>
      <c r="D421" s="50"/>
      <c r="E421" s="50"/>
      <c r="F421" s="50"/>
      <c r="G421" s="13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 spans="1:26" ht="11.25" customHeight="1">
      <c r="A422" s="50"/>
      <c r="B422" s="50"/>
      <c r="C422" s="50"/>
      <c r="D422" s="50"/>
      <c r="E422" s="50"/>
      <c r="F422" s="50"/>
      <c r="G422" s="13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 spans="1:26" ht="11.25" customHeight="1">
      <c r="A423" s="50"/>
      <c r="B423" s="50"/>
      <c r="C423" s="50"/>
      <c r="D423" s="50"/>
      <c r="E423" s="50"/>
      <c r="F423" s="50"/>
      <c r="G423" s="13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 spans="1:26" ht="11.25" customHeight="1">
      <c r="A424" s="50"/>
      <c r="B424" s="50"/>
      <c r="C424" s="50"/>
      <c r="D424" s="50"/>
      <c r="E424" s="50"/>
      <c r="F424" s="50"/>
      <c r="G424" s="13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 spans="1:26" ht="11.25" customHeight="1">
      <c r="A425" s="50"/>
      <c r="B425" s="50"/>
      <c r="C425" s="50"/>
      <c r="D425" s="50"/>
      <c r="E425" s="50"/>
      <c r="F425" s="50"/>
      <c r="G425" s="13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 spans="1:26" ht="11.25" customHeight="1">
      <c r="A426" s="50"/>
      <c r="B426" s="50"/>
      <c r="C426" s="50"/>
      <c r="D426" s="50"/>
      <c r="E426" s="50"/>
      <c r="F426" s="50"/>
      <c r="G426" s="13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 spans="1:26" ht="11.25" customHeight="1">
      <c r="A427" s="50"/>
      <c r="B427" s="50"/>
      <c r="C427" s="50"/>
      <c r="D427" s="50"/>
      <c r="E427" s="50"/>
      <c r="F427" s="50"/>
      <c r="G427" s="13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 spans="1:26" ht="11.25" customHeight="1">
      <c r="A428" s="50"/>
      <c r="B428" s="50"/>
      <c r="C428" s="50"/>
      <c r="D428" s="50"/>
      <c r="E428" s="50"/>
      <c r="F428" s="50"/>
      <c r="G428" s="13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 spans="1:26" ht="11.25" customHeight="1">
      <c r="A429" s="50"/>
      <c r="B429" s="50"/>
      <c r="C429" s="50"/>
      <c r="D429" s="50"/>
      <c r="E429" s="50"/>
      <c r="F429" s="50"/>
      <c r="G429" s="13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 spans="1:26" ht="11.25" customHeight="1">
      <c r="A430" s="50"/>
      <c r="B430" s="50"/>
      <c r="C430" s="50"/>
      <c r="D430" s="50"/>
      <c r="E430" s="50"/>
      <c r="F430" s="50"/>
      <c r="G430" s="13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 spans="1:26" ht="11.25" customHeight="1">
      <c r="A431" s="50"/>
      <c r="B431" s="50"/>
      <c r="C431" s="50"/>
      <c r="D431" s="50"/>
      <c r="E431" s="50"/>
      <c r="F431" s="50"/>
      <c r="G431" s="13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 spans="1:26" ht="11.25" customHeight="1">
      <c r="A432" s="50"/>
      <c r="B432" s="50"/>
      <c r="C432" s="50"/>
      <c r="D432" s="50"/>
      <c r="E432" s="50"/>
      <c r="F432" s="50"/>
      <c r="G432" s="13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 spans="1:26" ht="11.25" customHeight="1">
      <c r="A433" s="50"/>
      <c r="B433" s="50"/>
      <c r="C433" s="50"/>
      <c r="D433" s="50"/>
      <c r="E433" s="50"/>
      <c r="F433" s="50"/>
      <c r="G433" s="13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 spans="1:26" ht="11.25" customHeight="1">
      <c r="A434" s="50"/>
      <c r="B434" s="50"/>
      <c r="C434" s="50"/>
      <c r="D434" s="50"/>
      <c r="E434" s="50"/>
      <c r="F434" s="50"/>
      <c r="G434" s="13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 spans="1:26" ht="11.25" customHeight="1">
      <c r="A435" s="50"/>
      <c r="B435" s="50"/>
      <c r="C435" s="50"/>
      <c r="D435" s="50"/>
      <c r="E435" s="50"/>
      <c r="F435" s="50"/>
      <c r="G435" s="13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 spans="1:26" ht="11.25" customHeight="1">
      <c r="A436" s="50"/>
      <c r="B436" s="50"/>
      <c r="C436" s="50"/>
      <c r="D436" s="50"/>
      <c r="E436" s="50"/>
      <c r="F436" s="50"/>
      <c r="G436" s="13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 spans="1:26" ht="11.25" customHeight="1">
      <c r="A437" s="50"/>
      <c r="B437" s="50"/>
      <c r="C437" s="50"/>
      <c r="D437" s="50"/>
      <c r="E437" s="50"/>
      <c r="F437" s="50"/>
      <c r="G437" s="13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 spans="1:26" ht="11.25" customHeight="1">
      <c r="A438" s="50"/>
      <c r="B438" s="50"/>
      <c r="C438" s="50"/>
      <c r="D438" s="50"/>
      <c r="E438" s="50"/>
      <c r="F438" s="50"/>
      <c r="G438" s="13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 spans="1:26" ht="11.25" customHeight="1">
      <c r="A439" s="50"/>
      <c r="B439" s="50"/>
      <c r="C439" s="50"/>
      <c r="D439" s="50"/>
      <c r="E439" s="50"/>
      <c r="F439" s="50"/>
      <c r="G439" s="13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 spans="1:26" ht="11.25" customHeight="1">
      <c r="A440" s="50"/>
      <c r="B440" s="50"/>
      <c r="C440" s="50"/>
      <c r="D440" s="50"/>
      <c r="E440" s="50"/>
      <c r="F440" s="50"/>
      <c r="G440" s="13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 spans="1:26" ht="11.25" customHeight="1">
      <c r="A441" s="50"/>
      <c r="B441" s="50"/>
      <c r="C441" s="50"/>
      <c r="D441" s="50"/>
      <c r="E441" s="50"/>
      <c r="F441" s="50"/>
      <c r="G441" s="13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 spans="1:26" ht="11.25" customHeight="1">
      <c r="A442" s="50"/>
      <c r="B442" s="50"/>
      <c r="C442" s="50"/>
      <c r="D442" s="50"/>
      <c r="E442" s="50"/>
      <c r="F442" s="50"/>
      <c r="G442" s="13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 spans="1:26" ht="11.25" customHeight="1">
      <c r="A443" s="50"/>
      <c r="B443" s="50"/>
      <c r="C443" s="50"/>
      <c r="D443" s="50"/>
      <c r="E443" s="50"/>
      <c r="F443" s="50"/>
      <c r="G443" s="13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 spans="1:26" ht="11.25" customHeight="1">
      <c r="A444" s="50"/>
      <c r="B444" s="50"/>
      <c r="C444" s="50"/>
      <c r="D444" s="50"/>
      <c r="E444" s="50"/>
      <c r="F444" s="50"/>
      <c r="G444" s="13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 spans="1:26" ht="11.25" customHeight="1">
      <c r="A445" s="50"/>
      <c r="B445" s="50"/>
      <c r="C445" s="50"/>
      <c r="D445" s="50"/>
      <c r="E445" s="50"/>
      <c r="F445" s="50"/>
      <c r="G445" s="13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 spans="1:26" ht="11.25" customHeight="1">
      <c r="A446" s="50"/>
      <c r="B446" s="50"/>
      <c r="C446" s="50"/>
      <c r="D446" s="50"/>
      <c r="E446" s="50"/>
      <c r="F446" s="50"/>
      <c r="G446" s="13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 spans="1:26" ht="11.25" customHeight="1">
      <c r="A447" s="50"/>
      <c r="B447" s="50"/>
      <c r="C447" s="50"/>
      <c r="D447" s="50"/>
      <c r="E447" s="50"/>
      <c r="F447" s="50"/>
      <c r="G447" s="13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 spans="1:26" ht="11.25" customHeight="1">
      <c r="A448" s="50"/>
      <c r="B448" s="50"/>
      <c r="C448" s="50"/>
      <c r="D448" s="50"/>
      <c r="E448" s="50"/>
      <c r="F448" s="50"/>
      <c r="G448" s="13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 spans="1:26" ht="11.25" customHeight="1">
      <c r="A449" s="50"/>
      <c r="B449" s="50"/>
      <c r="C449" s="50"/>
      <c r="D449" s="50"/>
      <c r="E449" s="50"/>
      <c r="F449" s="50"/>
      <c r="G449" s="13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 spans="1:26" ht="11.25" customHeight="1">
      <c r="A450" s="50"/>
      <c r="B450" s="50"/>
      <c r="C450" s="50"/>
      <c r="D450" s="50"/>
      <c r="E450" s="50"/>
      <c r="F450" s="50"/>
      <c r="G450" s="13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 spans="1:26" ht="11.25" customHeight="1">
      <c r="A451" s="50"/>
      <c r="B451" s="50"/>
      <c r="C451" s="50"/>
      <c r="D451" s="50"/>
      <c r="E451" s="50"/>
      <c r="F451" s="50"/>
      <c r="G451" s="13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 spans="1:26" ht="11.25" customHeight="1">
      <c r="A452" s="50"/>
      <c r="B452" s="50"/>
      <c r="C452" s="50"/>
      <c r="D452" s="50"/>
      <c r="E452" s="50"/>
      <c r="F452" s="50"/>
      <c r="G452" s="13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 spans="1:26" ht="11.25" customHeight="1">
      <c r="A453" s="50"/>
      <c r="B453" s="50"/>
      <c r="C453" s="50"/>
      <c r="D453" s="50"/>
      <c r="E453" s="50"/>
      <c r="F453" s="50"/>
      <c r="G453" s="13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 spans="1:26" ht="11.25" customHeight="1">
      <c r="A454" s="50"/>
      <c r="B454" s="50"/>
      <c r="C454" s="50"/>
      <c r="D454" s="50"/>
      <c r="E454" s="50"/>
      <c r="F454" s="50"/>
      <c r="G454" s="13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 spans="1:26" ht="11.25" customHeight="1">
      <c r="A455" s="50"/>
      <c r="B455" s="50"/>
      <c r="C455" s="50"/>
      <c r="D455" s="50"/>
      <c r="E455" s="50"/>
      <c r="F455" s="50"/>
      <c r="G455" s="13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 spans="1:26" ht="11.25" customHeight="1">
      <c r="A456" s="50"/>
      <c r="B456" s="50"/>
      <c r="C456" s="50"/>
      <c r="D456" s="50"/>
      <c r="E456" s="50"/>
      <c r="F456" s="50"/>
      <c r="G456" s="13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 spans="1:26" ht="11.25" customHeight="1">
      <c r="A457" s="50"/>
      <c r="B457" s="50"/>
      <c r="C457" s="50"/>
      <c r="D457" s="50"/>
      <c r="E457" s="50"/>
      <c r="F457" s="50"/>
      <c r="G457" s="13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 spans="1:26" ht="11.25" customHeight="1">
      <c r="A458" s="50"/>
      <c r="B458" s="50"/>
      <c r="C458" s="50"/>
      <c r="D458" s="50"/>
      <c r="E458" s="50"/>
      <c r="F458" s="50"/>
      <c r="G458" s="13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 spans="1:26" ht="11.25" customHeight="1">
      <c r="A459" s="50"/>
      <c r="B459" s="50"/>
      <c r="C459" s="50"/>
      <c r="D459" s="50"/>
      <c r="E459" s="50"/>
      <c r="F459" s="50"/>
      <c r="G459" s="13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 spans="1:26" ht="11.25" customHeight="1">
      <c r="A460" s="50"/>
      <c r="B460" s="50"/>
      <c r="C460" s="50"/>
      <c r="D460" s="50"/>
      <c r="E460" s="50"/>
      <c r="F460" s="50"/>
      <c r="G460" s="13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 spans="1:26" ht="11.25" customHeight="1">
      <c r="A461" s="50"/>
      <c r="B461" s="50"/>
      <c r="C461" s="50"/>
      <c r="D461" s="50"/>
      <c r="E461" s="50"/>
      <c r="F461" s="50"/>
      <c r="G461" s="13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 spans="1:26" ht="11.25" customHeight="1">
      <c r="A462" s="50"/>
      <c r="B462" s="50"/>
      <c r="C462" s="50"/>
      <c r="D462" s="50"/>
      <c r="E462" s="50"/>
      <c r="F462" s="50"/>
      <c r="G462" s="13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 spans="1:26" ht="11.25" customHeight="1">
      <c r="A463" s="50"/>
      <c r="B463" s="50"/>
      <c r="C463" s="50"/>
      <c r="D463" s="50"/>
      <c r="E463" s="50"/>
      <c r="F463" s="50"/>
      <c r="G463" s="13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 spans="1:26" ht="11.25" customHeight="1">
      <c r="A464" s="50"/>
      <c r="B464" s="50"/>
      <c r="C464" s="50"/>
      <c r="D464" s="50"/>
      <c r="E464" s="50"/>
      <c r="F464" s="50"/>
      <c r="G464" s="13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 spans="1:26" ht="11.25" customHeight="1">
      <c r="A465" s="50"/>
      <c r="B465" s="50"/>
      <c r="C465" s="50"/>
      <c r="D465" s="50"/>
      <c r="E465" s="50"/>
      <c r="F465" s="50"/>
      <c r="G465" s="13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 spans="1:26" ht="11.25" customHeight="1">
      <c r="A466" s="50"/>
      <c r="B466" s="50"/>
      <c r="C466" s="50"/>
      <c r="D466" s="50"/>
      <c r="E466" s="50"/>
      <c r="F466" s="50"/>
      <c r="G466" s="13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 spans="1:26" ht="11.25" customHeight="1">
      <c r="A467" s="50"/>
      <c r="B467" s="50"/>
      <c r="C467" s="50"/>
      <c r="D467" s="50"/>
      <c r="E467" s="50"/>
      <c r="F467" s="50"/>
      <c r="G467" s="13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 spans="1:26" ht="11.25" customHeight="1">
      <c r="A468" s="50"/>
      <c r="B468" s="50"/>
      <c r="C468" s="50"/>
      <c r="D468" s="50"/>
      <c r="E468" s="50"/>
      <c r="F468" s="50"/>
      <c r="G468" s="13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 spans="1:26" ht="11.25" customHeight="1">
      <c r="A469" s="50"/>
      <c r="B469" s="50"/>
      <c r="C469" s="50"/>
      <c r="D469" s="50"/>
      <c r="E469" s="50"/>
      <c r="F469" s="50"/>
      <c r="G469" s="13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 spans="1:26" ht="11.25" customHeight="1">
      <c r="A470" s="50"/>
      <c r="B470" s="50"/>
      <c r="C470" s="50"/>
      <c r="D470" s="50"/>
      <c r="E470" s="50"/>
      <c r="F470" s="50"/>
      <c r="G470" s="13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 spans="1:26" ht="11.25" customHeight="1">
      <c r="A471" s="50"/>
      <c r="B471" s="50"/>
      <c r="C471" s="50"/>
      <c r="D471" s="50"/>
      <c r="E471" s="50"/>
      <c r="F471" s="50"/>
      <c r="G471" s="13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 spans="1:26" ht="11.25" customHeight="1">
      <c r="A472" s="50"/>
      <c r="B472" s="50"/>
      <c r="C472" s="50"/>
      <c r="D472" s="50"/>
      <c r="E472" s="50"/>
      <c r="F472" s="50"/>
      <c r="G472" s="13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 spans="1:26" ht="11.25" customHeight="1">
      <c r="A473" s="50"/>
      <c r="B473" s="50"/>
      <c r="C473" s="50"/>
      <c r="D473" s="50"/>
      <c r="E473" s="50"/>
      <c r="F473" s="50"/>
      <c r="G473" s="13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 spans="1:26" ht="11.25" customHeight="1">
      <c r="A474" s="50"/>
      <c r="B474" s="50"/>
      <c r="C474" s="50"/>
      <c r="D474" s="50"/>
      <c r="E474" s="50"/>
      <c r="F474" s="50"/>
      <c r="G474" s="13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 spans="1:26" ht="11.25" customHeight="1">
      <c r="A475" s="50"/>
      <c r="B475" s="50"/>
      <c r="C475" s="50"/>
      <c r="D475" s="50"/>
      <c r="E475" s="50"/>
      <c r="F475" s="50"/>
      <c r="G475" s="13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 spans="1:26" ht="11.25" customHeight="1">
      <c r="A476" s="50"/>
      <c r="B476" s="50"/>
      <c r="C476" s="50"/>
      <c r="D476" s="50"/>
      <c r="E476" s="50"/>
      <c r="F476" s="50"/>
      <c r="G476" s="13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 spans="1:26" ht="11.25" customHeight="1">
      <c r="A477" s="50"/>
      <c r="B477" s="50"/>
      <c r="C477" s="50"/>
      <c r="D477" s="50"/>
      <c r="E477" s="50"/>
      <c r="F477" s="50"/>
      <c r="G477" s="13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 spans="1:26" ht="11.25" customHeight="1">
      <c r="A478" s="50"/>
      <c r="B478" s="50"/>
      <c r="C478" s="50"/>
      <c r="D478" s="50"/>
      <c r="E478" s="50"/>
      <c r="F478" s="50"/>
      <c r="G478" s="13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 spans="1:26" ht="11.25" customHeight="1">
      <c r="A479" s="50"/>
      <c r="B479" s="50"/>
      <c r="C479" s="50"/>
      <c r="D479" s="50"/>
      <c r="E479" s="50"/>
      <c r="F479" s="50"/>
      <c r="G479" s="13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 spans="1:26" ht="11.25" customHeight="1">
      <c r="A480" s="50"/>
      <c r="B480" s="50"/>
      <c r="C480" s="50"/>
      <c r="D480" s="50"/>
      <c r="E480" s="50"/>
      <c r="F480" s="50"/>
      <c r="G480" s="13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 spans="1:26" ht="11.25" customHeight="1">
      <c r="A481" s="50"/>
      <c r="B481" s="50"/>
      <c r="C481" s="50"/>
      <c r="D481" s="50"/>
      <c r="E481" s="50"/>
      <c r="F481" s="50"/>
      <c r="G481" s="13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 spans="1:26" ht="11.25" customHeight="1">
      <c r="A482" s="50"/>
      <c r="B482" s="50"/>
      <c r="C482" s="50"/>
      <c r="D482" s="50"/>
      <c r="E482" s="50"/>
      <c r="F482" s="50"/>
      <c r="G482" s="13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 spans="1:26" ht="11.25" customHeight="1">
      <c r="A483" s="50"/>
      <c r="B483" s="50"/>
      <c r="C483" s="50"/>
      <c r="D483" s="50"/>
      <c r="E483" s="50"/>
      <c r="F483" s="50"/>
      <c r="G483" s="13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 spans="1:26" ht="11.25" customHeight="1">
      <c r="A484" s="50"/>
      <c r="B484" s="50"/>
      <c r="C484" s="50"/>
      <c r="D484" s="50"/>
      <c r="E484" s="50"/>
      <c r="F484" s="50"/>
      <c r="G484" s="13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 spans="1:26" ht="11.25" customHeight="1">
      <c r="A485" s="50"/>
      <c r="B485" s="50"/>
      <c r="C485" s="50"/>
      <c r="D485" s="50"/>
      <c r="E485" s="50"/>
      <c r="F485" s="50"/>
      <c r="G485" s="13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 spans="1:26" ht="11.25" customHeight="1">
      <c r="A486" s="50"/>
      <c r="B486" s="50"/>
      <c r="C486" s="50"/>
      <c r="D486" s="50"/>
      <c r="E486" s="50"/>
      <c r="F486" s="50"/>
      <c r="G486" s="13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 spans="1:26" ht="11.25" customHeight="1">
      <c r="A487" s="50"/>
      <c r="B487" s="50"/>
      <c r="C487" s="50"/>
      <c r="D487" s="50"/>
      <c r="E487" s="50"/>
      <c r="F487" s="50"/>
      <c r="G487" s="13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 spans="1:26" ht="11.25" customHeight="1">
      <c r="A488" s="50"/>
      <c r="B488" s="50"/>
      <c r="C488" s="50"/>
      <c r="D488" s="50"/>
      <c r="E488" s="50"/>
      <c r="F488" s="50"/>
      <c r="G488" s="13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 spans="1:26" ht="11.25" customHeight="1">
      <c r="A489" s="50"/>
      <c r="B489" s="50"/>
      <c r="C489" s="50"/>
      <c r="D489" s="50"/>
      <c r="E489" s="50"/>
      <c r="F489" s="50"/>
      <c r="G489" s="13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 spans="1:26" ht="11.25" customHeight="1">
      <c r="A490" s="50"/>
      <c r="B490" s="50"/>
      <c r="C490" s="50"/>
      <c r="D490" s="50"/>
      <c r="E490" s="50"/>
      <c r="F490" s="50"/>
      <c r="G490" s="13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 spans="1:26" ht="11.25" customHeight="1">
      <c r="A491" s="50"/>
      <c r="B491" s="50"/>
      <c r="C491" s="50"/>
      <c r="D491" s="50"/>
      <c r="E491" s="50"/>
      <c r="F491" s="50"/>
      <c r="G491" s="13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 spans="1:26" ht="11.25" customHeight="1">
      <c r="A492" s="50"/>
      <c r="B492" s="50"/>
      <c r="C492" s="50"/>
      <c r="D492" s="50"/>
      <c r="E492" s="50"/>
      <c r="F492" s="50"/>
      <c r="G492" s="13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 spans="1:26" ht="11.25" customHeight="1">
      <c r="A493" s="50"/>
      <c r="B493" s="50"/>
      <c r="C493" s="50"/>
      <c r="D493" s="50"/>
      <c r="E493" s="50"/>
      <c r="F493" s="50"/>
      <c r="G493" s="13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 spans="1:26" ht="11.25" customHeight="1">
      <c r="A494" s="50"/>
      <c r="B494" s="50"/>
      <c r="C494" s="50"/>
      <c r="D494" s="50"/>
      <c r="E494" s="50"/>
      <c r="F494" s="50"/>
      <c r="G494" s="13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 spans="1:26" ht="11.25" customHeight="1">
      <c r="A495" s="50"/>
      <c r="B495" s="50"/>
      <c r="C495" s="50"/>
      <c r="D495" s="50"/>
      <c r="E495" s="50"/>
      <c r="F495" s="50"/>
      <c r="G495" s="13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 spans="1:26" ht="11.25" customHeight="1">
      <c r="A496" s="50"/>
      <c r="B496" s="50"/>
      <c r="C496" s="50"/>
      <c r="D496" s="50"/>
      <c r="E496" s="50"/>
      <c r="F496" s="50"/>
      <c r="G496" s="13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 spans="1:26" ht="11.25" customHeight="1">
      <c r="A497" s="50"/>
      <c r="B497" s="50"/>
      <c r="C497" s="50"/>
      <c r="D497" s="50"/>
      <c r="E497" s="50"/>
      <c r="F497" s="50"/>
      <c r="G497" s="13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 spans="1:26" ht="11.25" customHeight="1">
      <c r="A498" s="50"/>
      <c r="B498" s="50"/>
      <c r="C498" s="50"/>
      <c r="D498" s="50"/>
      <c r="E498" s="50"/>
      <c r="F498" s="50"/>
      <c r="G498" s="13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 spans="1:26" ht="11.25" customHeight="1">
      <c r="A499" s="50"/>
      <c r="B499" s="50"/>
      <c r="C499" s="50"/>
      <c r="D499" s="50"/>
      <c r="E499" s="50"/>
      <c r="F499" s="50"/>
      <c r="G499" s="13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 spans="1:26" ht="11.25" customHeight="1">
      <c r="A500" s="50"/>
      <c r="B500" s="50"/>
      <c r="C500" s="50"/>
      <c r="D500" s="50"/>
      <c r="E500" s="50"/>
      <c r="F500" s="50"/>
      <c r="G500" s="13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 spans="1:26" ht="11.25" customHeight="1">
      <c r="A501" s="50"/>
      <c r="B501" s="50"/>
      <c r="C501" s="50"/>
      <c r="D501" s="50"/>
      <c r="E501" s="50"/>
      <c r="F501" s="50"/>
      <c r="G501" s="13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 spans="1:26" ht="11.25" customHeight="1">
      <c r="A502" s="50"/>
      <c r="B502" s="50"/>
      <c r="C502" s="50"/>
      <c r="D502" s="50"/>
      <c r="E502" s="50"/>
      <c r="F502" s="50"/>
      <c r="G502" s="13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 spans="1:26" ht="11.25" customHeight="1">
      <c r="A503" s="50"/>
      <c r="B503" s="50"/>
      <c r="C503" s="50"/>
      <c r="D503" s="50"/>
      <c r="E503" s="50"/>
      <c r="F503" s="50"/>
      <c r="G503" s="13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 spans="1:26" ht="11.25" customHeight="1">
      <c r="A504" s="50"/>
      <c r="B504" s="50"/>
      <c r="C504" s="50"/>
      <c r="D504" s="50"/>
      <c r="E504" s="50"/>
      <c r="F504" s="50"/>
      <c r="G504" s="13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 spans="1:26" ht="11.25" customHeight="1">
      <c r="A505" s="50"/>
      <c r="B505" s="50"/>
      <c r="C505" s="50"/>
      <c r="D505" s="50"/>
      <c r="E505" s="50"/>
      <c r="F505" s="50"/>
      <c r="G505" s="13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 spans="1:26" ht="11.25" customHeight="1">
      <c r="A506" s="50"/>
      <c r="B506" s="50"/>
      <c r="C506" s="50"/>
      <c r="D506" s="50"/>
      <c r="E506" s="50"/>
      <c r="F506" s="50"/>
      <c r="G506" s="13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 spans="1:26" ht="11.25" customHeight="1">
      <c r="A507" s="50"/>
      <c r="B507" s="50"/>
      <c r="C507" s="50"/>
      <c r="D507" s="50"/>
      <c r="E507" s="50"/>
      <c r="F507" s="50"/>
      <c r="G507" s="13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 spans="1:26" ht="11.25" customHeight="1">
      <c r="A508" s="50"/>
      <c r="B508" s="50"/>
      <c r="C508" s="50"/>
      <c r="D508" s="50"/>
      <c r="E508" s="50"/>
      <c r="F508" s="50"/>
      <c r="G508" s="13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 spans="1:26" ht="11.25" customHeight="1">
      <c r="A509" s="50"/>
      <c r="B509" s="50"/>
      <c r="C509" s="50"/>
      <c r="D509" s="50"/>
      <c r="E509" s="50"/>
      <c r="F509" s="50"/>
      <c r="G509" s="13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 spans="1:26" ht="11.25" customHeight="1">
      <c r="A510" s="50"/>
      <c r="B510" s="50"/>
      <c r="C510" s="50"/>
      <c r="D510" s="50"/>
      <c r="E510" s="50"/>
      <c r="F510" s="50"/>
      <c r="G510" s="13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 spans="1:26" ht="11.25" customHeight="1">
      <c r="A511" s="50"/>
      <c r="B511" s="50"/>
      <c r="C511" s="50"/>
      <c r="D511" s="50"/>
      <c r="E511" s="50"/>
      <c r="F511" s="50"/>
      <c r="G511" s="13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 spans="1:26" ht="11.25" customHeight="1">
      <c r="A512" s="50"/>
      <c r="B512" s="50"/>
      <c r="C512" s="50"/>
      <c r="D512" s="50"/>
      <c r="E512" s="50"/>
      <c r="F512" s="50"/>
      <c r="G512" s="13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 spans="1:26" ht="11.25" customHeight="1">
      <c r="A513" s="50"/>
      <c r="B513" s="50"/>
      <c r="C513" s="50"/>
      <c r="D513" s="50"/>
      <c r="E513" s="50"/>
      <c r="F513" s="50"/>
      <c r="G513" s="13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 spans="1:26" ht="11.25" customHeight="1">
      <c r="A514" s="50"/>
      <c r="B514" s="50"/>
      <c r="C514" s="50"/>
      <c r="D514" s="50"/>
      <c r="E514" s="50"/>
      <c r="F514" s="50"/>
      <c r="G514" s="13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 spans="1:26" ht="11.25" customHeight="1">
      <c r="A515" s="50"/>
      <c r="B515" s="50"/>
      <c r="C515" s="50"/>
      <c r="D515" s="50"/>
      <c r="E515" s="50"/>
      <c r="F515" s="50"/>
      <c r="G515" s="13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 spans="1:26" ht="11.25" customHeight="1">
      <c r="A516" s="50"/>
      <c r="B516" s="50"/>
      <c r="C516" s="50"/>
      <c r="D516" s="50"/>
      <c r="E516" s="50"/>
      <c r="F516" s="50"/>
      <c r="G516" s="13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 spans="1:26" ht="11.25" customHeight="1">
      <c r="A517" s="50"/>
      <c r="B517" s="50"/>
      <c r="C517" s="50"/>
      <c r="D517" s="50"/>
      <c r="E517" s="50"/>
      <c r="F517" s="50"/>
      <c r="G517" s="13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 spans="1:26" ht="11.25" customHeight="1">
      <c r="A518" s="50"/>
      <c r="B518" s="50"/>
      <c r="C518" s="50"/>
      <c r="D518" s="50"/>
      <c r="E518" s="50"/>
      <c r="F518" s="50"/>
      <c r="G518" s="13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 spans="1:26" ht="11.25" customHeight="1">
      <c r="A519" s="50"/>
      <c r="B519" s="50"/>
      <c r="C519" s="50"/>
      <c r="D519" s="50"/>
      <c r="E519" s="50"/>
      <c r="F519" s="50"/>
      <c r="G519" s="13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 spans="1:26" ht="11.25" customHeight="1">
      <c r="A520" s="50"/>
      <c r="B520" s="50"/>
      <c r="C520" s="50"/>
      <c r="D520" s="50"/>
      <c r="E520" s="50"/>
      <c r="F520" s="50"/>
      <c r="G520" s="13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 spans="1:26" ht="11.25" customHeight="1">
      <c r="A521" s="50"/>
      <c r="B521" s="50"/>
      <c r="C521" s="50"/>
      <c r="D521" s="50"/>
      <c r="E521" s="50"/>
      <c r="F521" s="50"/>
      <c r="G521" s="13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 spans="1:26" ht="11.25" customHeight="1">
      <c r="A522" s="50"/>
      <c r="B522" s="50"/>
      <c r="C522" s="50"/>
      <c r="D522" s="50"/>
      <c r="E522" s="50"/>
      <c r="F522" s="50"/>
      <c r="G522" s="13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 spans="1:26" ht="11.25" customHeight="1">
      <c r="A523" s="50"/>
      <c r="B523" s="50"/>
      <c r="C523" s="50"/>
      <c r="D523" s="50"/>
      <c r="E523" s="50"/>
      <c r="F523" s="50"/>
      <c r="G523" s="13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 spans="1:26" ht="11.25" customHeight="1">
      <c r="A524" s="50"/>
      <c r="B524" s="50"/>
      <c r="C524" s="50"/>
      <c r="D524" s="50"/>
      <c r="E524" s="50"/>
      <c r="F524" s="50"/>
      <c r="G524" s="13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 spans="1:26" ht="11.25" customHeight="1">
      <c r="A525" s="50"/>
      <c r="B525" s="50"/>
      <c r="C525" s="50"/>
      <c r="D525" s="50"/>
      <c r="E525" s="50"/>
      <c r="F525" s="50"/>
      <c r="G525" s="13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 spans="1:26" ht="11.25" customHeight="1">
      <c r="A526" s="50"/>
      <c r="B526" s="50"/>
      <c r="C526" s="50"/>
      <c r="D526" s="50"/>
      <c r="E526" s="50"/>
      <c r="F526" s="50"/>
      <c r="G526" s="13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 spans="1:26" ht="11.25" customHeight="1">
      <c r="A527" s="50"/>
      <c r="B527" s="50"/>
      <c r="C527" s="50"/>
      <c r="D527" s="50"/>
      <c r="E527" s="50"/>
      <c r="F527" s="50"/>
      <c r="G527" s="13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 spans="1:26" ht="11.25" customHeight="1">
      <c r="A528" s="50"/>
      <c r="B528" s="50"/>
      <c r="C528" s="50"/>
      <c r="D528" s="50"/>
      <c r="E528" s="50"/>
      <c r="F528" s="50"/>
      <c r="G528" s="13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 spans="1:26" ht="11.25" customHeight="1">
      <c r="A529" s="50"/>
      <c r="B529" s="50"/>
      <c r="C529" s="50"/>
      <c r="D529" s="50"/>
      <c r="E529" s="50"/>
      <c r="F529" s="50"/>
      <c r="G529" s="13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 spans="1:26" ht="11.25" customHeight="1">
      <c r="A530" s="50"/>
      <c r="B530" s="50"/>
      <c r="C530" s="50"/>
      <c r="D530" s="50"/>
      <c r="E530" s="50"/>
      <c r="F530" s="50"/>
      <c r="G530" s="13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 spans="1:26" ht="11.25" customHeight="1">
      <c r="A531" s="50"/>
      <c r="B531" s="50"/>
      <c r="C531" s="50"/>
      <c r="D531" s="50"/>
      <c r="E531" s="50"/>
      <c r="F531" s="50"/>
      <c r="G531" s="13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 spans="1:26" ht="11.25" customHeight="1">
      <c r="A532" s="50"/>
      <c r="B532" s="50"/>
      <c r="C532" s="50"/>
      <c r="D532" s="50"/>
      <c r="E532" s="50"/>
      <c r="F532" s="50"/>
      <c r="G532" s="13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 spans="1:26" ht="11.25" customHeight="1">
      <c r="A533" s="50"/>
      <c r="B533" s="50"/>
      <c r="C533" s="50"/>
      <c r="D533" s="50"/>
      <c r="E533" s="50"/>
      <c r="F533" s="50"/>
      <c r="G533" s="13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 spans="1:26" ht="11.25" customHeight="1">
      <c r="A534" s="50"/>
      <c r="B534" s="50"/>
      <c r="C534" s="50"/>
      <c r="D534" s="50"/>
      <c r="E534" s="50"/>
      <c r="F534" s="50"/>
      <c r="G534" s="13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 spans="1:26" ht="11.25" customHeight="1">
      <c r="A535" s="50"/>
      <c r="B535" s="50"/>
      <c r="C535" s="50"/>
      <c r="D535" s="50"/>
      <c r="E535" s="50"/>
      <c r="F535" s="50"/>
      <c r="G535" s="13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 spans="1:26" ht="11.25" customHeight="1">
      <c r="A536" s="50"/>
      <c r="B536" s="50"/>
      <c r="C536" s="50"/>
      <c r="D536" s="50"/>
      <c r="E536" s="50"/>
      <c r="F536" s="50"/>
      <c r="G536" s="13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 spans="1:26" ht="11.25" customHeight="1">
      <c r="A537" s="50"/>
      <c r="B537" s="50"/>
      <c r="C537" s="50"/>
      <c r="D537" s="50"/>
      <c r="E537" s="50"/>
      <c r="F537" s="50"/>
      <c r="G537" s="13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 spans="1:26" ht="11.25" customHeight="1">
      <c r="A538" s="50"/>
      <c r="B538" s="50"/>
      <c r="C538" s="50"/>
      <c r="D538" s="50"/>
      <c r="E538" s="50"/>
      <c r="F538" s="50"/>
      <c r="G538" s="13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 spans="1:26" ht="11.25" customHeight="1">
      <c r="A539" s="50"/>
      <c r="B539" s="50"/>
      <c r="C539" s="50"/>
      <c r="D539" s="50"/>
      <c r="E539" s="50"/>
      <c r="F539" s="50"/>
      <c r="G539" s="13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 spans="1:26" ht="11.25" customHeight="1">
      <c r="A540" s="50"/>
      <c r="B540" s="50"/>
      <c r="C540" s="50"/>
      <c r="D540" s="50"/>
      <c r="E540" s="50"/>
      <c r="F540" s="50"/>
      <c r="G540" s="13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 spans="1:26" ht="11.25" customHeight="1">
      <c r="A541" s="50"/>
      <c r="B541" s="50"/>
      <c r="C541" s="50"/>
      <c r="D541" s="50"/>
      <c r="E541" s="50"/>
      <c r="F541" s="50"/>
      <c r="G541" s="13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 spans="1:26" ht="11.25" customHeight="1">
      <c r="A542" s="50"/>
      <c r="B542" s="50"/>
      <c r="C542" s="50"/>
      <c r="D542" s="50"/>
      <c r="E542" s="50"/>
      <c r="F542" s="50"/>
      <c r="G542" s="13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 spans="1:26" ht="11.25" customHeight="1">
      <c r="A543" s="50"/>
      <c r="B543" s="50"/>
      <c r="C543" s="50"/>
      <c r="D543" s="50"/>
      <c r="E543" s="50"/>
      <c r="F543" s="50"/>
      <c r="G543" s="13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 spans="1:26" ht="11.25" customHeight="1">
      <c r="A544" s="50"/>
      <c r="B544" s="50"/>
      <c r="C544" s="50"/>
      <c r="D544" s="50"/>
      <c r="E544" s="50"/>
      <c r="F544" s="50"/>
      <c r="G544" s="13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 spans="1:26" ht="11.25" customHeight="1">
      <c r="A545" s="50"/>
      <c r="B545" s="50"/>
      <c r="C545" s="50"/>
      <c r="D545" s="50"/>
      <c r="E545" s="50"/>
      <c r="F545" s="50"/>
      <c r="G545" s="13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 spans="1:26" ht="11.25" customHeight="1">
      <c r="A546" s="50"/>
      <c r="B546" s="50"/>
      <c r="C546" s="50"/>
      <c r="D546" s="50"/>
      <c r="E546" s="50"/>
      <c r="F546" s="50"/>
      <c r="G546" s="13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 spans="1:26" ht="11.25" customHeight="1">
      <c r="A547" s="50"/>
      <c r="B547" s="50"/>
      <c r="C547" s="50"/>
      <c r="D547" s="50"/>
      <c r="E547" s="50"/>
      <c r="F547" s="50"/>
      <c r="G547" s="13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 spans="1:26" ht="11.25" customHeight="1">
      <c r="A548" s="50"/>
      <c r="B548" s="50"/>
      <c r="C548" s="50"/>
      <c r="D548" s="50"/>
      <c r="E548" s="50"/>
      <c r="F548" s="50"/>
      <c r="G548" s="13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 spans="1:26" ht="11.25" customHeight="1">
      <c r="A549" s="50"/>
      <c r="B549" s="50"/>
      <c r="C549" s="50"/>
      <c r="D549" s="50"/>
      <c r="E549" s="50"/>
      <c r="F549" s="50"/>
      <c r="G549" s="13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 spans="1:26" ht="11.25" customHeight="1">
      <c r="A550" s="50"/>
      <c r="B550" s="50"/>
      <c r="C550" s="50"/>
      <c r="D550" s="50"/>
      <c r="E550" s="50"/>
      <c r="F550" s="50"/>
      <c r="G550" s="13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 spans="1:26" ht="11.25" customHeight="1">
      <c r="A551" s="50"/>
      <c r="B551" s="50"/>
      <c r="C551" s="50"/>
      <c r="D551" s="50"/>
      <c r="E551" s="50"/>
      <c r="F551" s="50"/>
      <c r="G551" s="13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 spans="1:26" ht="11.25" customHeight="1">
      <c r="A552" s="50"/>
      <c r="B552" s="50"/>
      <c r="C552" s="50"/>
      <c r="D552" s="50"/>
      <c r="E552" s="50"/>
      <c r="F552" s="50"/>
      <c r="G552" s="13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 spans="1:26" ht="11.25" customHeight="1">
      <c r="A553" s="50"/>
      <c r="B553" s="50"/>
      <c r="C553" s="50"/>
      <c r="D553" s="50"/>
      <c r="E553" s="50"/>
      <c r="F553" s="50"/>
      <c r="G553" s="13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 spans="1:26" ht="11.25" customHeight="1">
      <c r="A554" s="50"/>
      <c r="B554" s="50"/>
      <c r="C554" s="50"/>
      <c r="D554" s="50"/>
      <c r="E554" s="50"/>
      <c r="F554" s="50"/>
      <c r="G554" s="13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 spans="1:26" ht="11.25" customHeight="1">
      <c r="A555" s="50"/>
      <c r="B555" s="50"/>
      <c r="C555" s="50"/>
      <c r="D555" s="50"/>
      <c r="E555" s="50"/>
      <c r="F555" s="50"/>
      <c r="G555" s="13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 spans="1:26" ht="11.25" customHeight="1">
      <c r="A556" s="50"/>
      <c r="B556" s="50"/>
      <c r="C556" s="50"/>
      <c r="D556" s="50"/>
      <c r="E556" s="50"/>
      <c r="F556" s="50"/>
      <c r="G556" s="13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 spans="1:26" ht="11.25" customHeight="1">
      <c r="A557" s="50"/>
      <c r="B557" s="50"/>
      <c r="C557" s="50"/>
      <c r="D557" s="50"/>
      <c r="E557" s="50"/>
      <c r="F557" s="50"/>
      <c r="G557" s="13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 spans="1:26" ht="11.25" customHeight="1">
      <c r="A558" s="50"/>
      <c r="B558" s="50"/>
      <c r="C558" s="50"/>
      <c r="D558" s="50"/>
      <c r="E558" s="50"/>
      <c r="F558" s="50"/>
      <c r="G558" s="13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 spans="1:26" ht="11.25" customHeight="1">
      <c r="A559" s="50"/>
      <c r="B559" s="50"/>
      <c r="C559" s="50"/>
      <c r="D559" s="50"/>
      <c r="E559" s="50"/>
      <c r="F559" s="50"/>
      <c r="G559" s="13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 spans="1:26" ht="11.25" customHeight="1">
      <c r="A560" s="50"/>
      <c r="B560" s="50"/>
      <c r="C560" s="50"/>
      <c r="D560" s="50"/>
      <c r="E560" s="50"/>
      <c r="F560" s="50"/>
      <c r="G560" s="13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 spans="1:26" ht="11.25" customHeight="1">
      <c r="A561" s="50"/>
      <c r="B561" s="50"/>
      <c r="C561" s="50"/>
      <c r="D561" s="50"/>
      <c r="E561" s="50"/>
      <c r="F561" s="50"/>
      <c r="G561" s="13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 spans="1:26" ht="11.25" customHeight="1">
      <c r="A562" s="50"/>
      <c r="B562" s="50"/>
      <c r="C562" s="50"/>
      <c r="D562" s="50"/>
      <c r="E562" s="50"/>
      <c r="F562" s="50"/>
      <c r="G562" s="13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 spans="1:26" ht="11.25" customHeight="1">
      <c r="A563" s="50"/>
      <c r="B563" s="50"/>
      <c r="C563" s="50"/>
      <c r="D563" s="50"/>
      <c r="E563" s="50"/>
      <c r="F563" s="50"/>
      <c r="G563" s="13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 spans="1:26" ht="11.25" customHeight="1">
      <c r="A564" s="50"/>
      <c r="B564" s="50"/>
      <c r="C564" s="50"/>
      <c r="D564" s="50"/>
      <c r="E564" s="50"/>
      <c r="F564" s="50"/>
      <c r="G564" s="13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 spans="1:26" ht="11.25" customHeight="1">
      <c r="A565" s="50"/>
      <c r="B565" s="50"/>
      <c r="C565" s="50"/>
      <c r="D565" s="50"/>
      <c r="E565" s="50"/>
      <c r="F565" s="50"/>
      <c r="G565" s="13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 spans="1:26" ht="11.25" customHeight="1">
      <c r="A566" s="50"/>
      <c r="B566" s="50"/>
      <c r="C566" s="50"/>
      <c r="D566" s="50"/>
      <c r="E566" s="50"/>
      <c r="F566" s="50"/>
      <c r="G566" s="13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 spans="1:26" ht="11.25" customHeight="1">
      <c r="A567" s="50"/>
      <c r="B567" s="50"/>
      <c r="C567" s="50"/>
      <c r="D567" s="50"/>
      <c r="E567" s="50"/>
      <c r="F567" s="50"/>
      <c r="G567" s="13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 spans="1:26" ht="11.25" customHeight="1">
      <c r="A568" s="50"/>
      <c r="B568" s="50"/>
      <c r="C568" s="50"/>
      <c r="D568" s="50"/>
      <c r="E568" s="50"/>
      <c r="F568" s="50"/>
      <c r="G568" s="13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 spans="1:26" ht="11.25" customHeight="1">
      <c r="A569" s="50"/>
      <c r="B569" s="50"/>
      <c r="C569" s="50"/>
      <c r="D569" s="50"/>
      <c r="E569" s="50"/>
      <c r="F569" s="50"/>
      <c r="G569" s="13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 spans="1:26" ht="11.25" customHeight="1">
      <c r="A570" s="50"/>
      <c r="B570" s="50"/>
      <c r="C570" s="50"/>
      <c r="D570" s="50"/>
      <c r="E570" s="50"/>
      <c r="F570" s="50"/>
      <c r="G570" s="13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 spans="1:26" ht="11.25" customHeight="1">
      <c r="A571" s="50"/>
      <c r="B571" s="50"/>
      <c r="C571" s="50"/>
      <c r="D571" s="50"/>
      <c r="E571" s="50"/>
      <c r="F571" s="50"/>
      <c r="G571" s="13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 spans="1:26" ht="11.25" customHeight="1">
      <c r="A572" s="50"/>
      <c r="B572" s="50"/>
      <c r="C572" s="50"/>
      <c r="D572" s="50"/>
      <c r="E572" s="50"/>
      <c r="F572" s="50"/>
      <c r="G572" s="13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 spans="1:26" ht="11.25" customHeight="1">
      <c r="A573" s="50"/>
      <c r="B573" s="50"/>
      <c r="C573" s="50"/>
      <c r="D573" s="50"/>
      <c r="E573" s="50"/>
      <c r="F573" s="50"/>
      <c r="G573" s="13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 spans="1:26" ht="11.25" customHeight="1">
      <c r="A574" s="50"/>
      <c r="B574" s="50"/>
      <c r="C574" s="50"/>
      <c r="D574" s="50"/>
      <c r="E574" s="50"/>
      <c r="F574" s="50"/>
      <c r="G574" s="13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 spans="1:26" ht="11.25" customHeight="1">
      <c r="A575" s="50"/>
      <c r="B575" s="50"/>
      <c r="C575" s="50"/>
      <c r="D575" s="50"/>
      <c r="E575" s="50"/>
      <c r="F575" s="50"/>
      <c r="G575" s="13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 spans="1:26" ht="11.25" customHeight="1">
      <c r="A576" s="50"/>
      <c r="B576" s="50"/>
      <c r="C576" s="50"/>
      <c r="D576" s="50"/>
      <c r="E576" s="50"/>
      <c r="F576" s="50"/>
      <c r="G576" s="13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 spans="1:26" ht="11.25" customHeight="1">
      <c r="A577" s="50"/>
      <c r="B577" s="50"/>
      <c r="C577" s="50"/>
      <c r="D577" s="50"/>
      <c r="E577" s="50"/>
      <c r="F577" s="50"/>
      <c r="G577" s="13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 spans="1:26" ht="11.25" customHeight="1">
      <c r="A578" s="50"/>
      <c r="B578" s="50"/>
      <c r="C578" s="50"/>
      <c r="D578" s="50"/>
      <c r="E578" s="50"/>
      <c r="F578" s="50"/>
      <c r="G578" s="13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 spans="1:26" ht="11.25" customHeight="1">
      <c r="A579" s="50"/>
      <c r="B579" s="50"/>
      <c r="C579" s="50"/>
      <c r="D579" s="50"/>
      <c r="E579" s="50"/>
      <c r="F579" s="50"/>
      <c r="G579" s="13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 spans="1:26" ht="11.25" customHeight="1">
      <c r="A580" s="50"/>
      <c r="B580" s="50"/>
      <c r="C580" s="50"/>
      <c r="D580" s="50"/>
      <c r="E580" s="50"/>
      <c r="F580" s="50"/>
      <c r="G580" s="13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 spans="1:26" ht="11.25" customHeight="1">
      <c r="A581" s="50"/>
      <c r="B581" s="50"/>
      <c r="C581" s="50"/>
      <c r="D581" s="50"/>
      <c r="E581" s="50"/>
      <c r="F581" s="50"/>
      <c r="G581" s="13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 spans="1:26" ht="11.25" customHeight="1">
      <c r="A582" s="50"/>
      <c r="B582" s="50"/>
      <c r="C582" s="50"/>
      <c r="D582" s="50"/>
      <c r="E582" s="50"/>
      <c r="F582" s="50"/>
      <c r="G582" s="13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 spans="1:26" ht="11.25" customHeight="1">
      <c r="A583" s="50"/>
      <c r="B583" s="50"/>
      <c r="C583" s="50"/>
      <c r="D583" s="50"/>
      <c r="E583" s="50"/>
      <c r="F583" s="50"/>
      <c r="G583" s="13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 spans="1:26" ht="11.25" customHeight="1">
      <c r="A584" s="50"/>
      <c r="B584" s="50"/>
      <c r="C584" s="50"/>
      <c r="D584" s="50"/>
      <c r="E584" s="50"/>
      <c r="F584" s="50"/>
      <c r="G584" s="13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 spans="1:26" ht="11.25" customHeight="1">
      <c r="A585" s="50"/>
      <c r="B585" s="50"/>
      <c r="C585" s="50"/>
      <c r="D585" s="50"/>
      <c r="E585" s="50"/>
      <c r="F585" s="50"/>
      <c r="G585" s="13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 spans="1:26" ht="11.25" customHeight="1">
      <c r="A586" s="50"/>
      <c r="B586" s="50"/>
      <c r="C586" s="50"/>
      <c r="D586" s="50"/>
      <c r="E586" s="50"/>
      <c r="F586" s="50"/>
      <c r="G586" s="13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 spans="1:26" ht="11.25" customHeight="1">
      <c r="A587" s="50"/>
      <c r="B587" s="50"/>
      <c r="C587" s="50"/>
      <c r="D587" s="50"/>
      <c r="E587" s="50"/>
      <c r="F587" s="50"/>
      <c r="G587" s="13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 spans="1:26" ht="11.25" customHeight="1">
      <c r="A588" s="50"/>
      <c r="B588" s="50"/>
      <c r="C588" s="50"/>
      <c r="D588" s="50"/>
      <c r="E588" s="50"/>
      <c r="F588" s="50"/>
      <c r="G588" s="13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 spans="1:26" ht="11.25" customHeight="1">
      <c r="A589" s="50"/>
      <c r="B589" s="50"/>
      <c r="C589" s="50"/>
      <c r="D589" s="50"/>
      <c r="E589" s="50"/>
      <c r="F589" s="50"/>
      <c r="G589" s="13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 spans="1:26" ht="11.25" customHeight="1">
      <c r="A590" s="50"/>
      <c r="B590" s="50"/>
      <c r="C590" s="50"/>
      <c r="D590" s="50"/>
      <c r="E590" s="50"/>
      <c r="F590" s="50"/>
      <c r="G590" s="13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 spans="1:26" ht="11.25" customHeight="1">
      <c r="A591" s="50"/>
      <c r="B591" s="50"/>
      <c r="C591" s="50"/>
      <c r="D591" s="50"/>
      <c r="E591" s="50"/>
      <c r="F591" s="50"/>
      <c r="G591" s="13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 spans="1:26" ht="11.25" customHeight="1">
      <c r="A592" s="50"/>
      <c r="B592" s="50"/>
      <c r="C592" s="50"/>
      <c r="D592" s="50"/>
      <c r="E592" s="50"/>
      <c r="F592" s="50"/>
      <c r="G592" s="13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 spans="1:26" ht="11.25" customHeight="1">
      <c r="A593" s="50"/>
      <c r="B593" s="50"/>
      <c r="C593" s="50"/>
      <c r="D593" s="50"/>
      <c r="E593" s="50"/>
      <c r="F593" s="50"/>
      <c r="G593" s="13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 spans="1:26" ht="11.25" customHeight="1">
      <c r="A594" s="50"/>
      <c r="B594" s="50"/>
      <c r="C594" s="50"/>
      <c r="D594" s="50"/>
      <c r="E594" s="50"/>
      <c r="F594" s="50"/>
      <c r="G594" s="13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 spans="1:26" ht="11.25" customHeight="1">
      <c r="A595" s="50"/>
      <c r="B595" s="50"/>
      <c r="C595" s="50"/>
      <c r="D595" s="50"/>
      <c r="E595" s="50"/>
      <c r="F595" s="50"/>
      <c r="G595" s="13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 spans="1:26" ht="11.25" customHeight="1">
      <c r="A596" s="50"/>
      <c r="B596" s="50"/>
      <c r="C596" s="50"/>
      <c r="D596" s="50"/>
      <c r="E596" s="50"/>
      <c r="F596" s="50"/>
      <c r="G596" s="13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 spans="1:26" ht="11.25" customHeight="1">
      <c r="A597" s="50"/>
      <c r="B597" s="50"/>
      <c r="C597" s="50"/>
      <c r="D597" s="50"/>
      <c r="E597" s="50"/>
      <c r="F597" s="50"/>
      <c r="G597" s="13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 spans="1:26" ht="11.25" customHeight="1">
      <c r="A598" s="50"/>
      <c r="B598" s="50"/>
      <c r="C598" s="50"/>
      <c r="D598" s="50"/>
      <c r="E598" s="50"/>
      <c r="F598" s="50"/>
      <c r="G598" s="13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 spans="1:26" ht="11.25" customHeight="1">
      <c r="A599" s="50"/>
      <c r="B599" s="50"/>
      <c r="C599" s="50"/>
      <c r="D599" s="50"/>
      <c r="E599" s="50"/>
      <c r="F599" s="50"/>
      <c r="G599" s="13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 spans="1:26" ht="11.25" customHeight="1">
      <c r="A600" s="50"/>
      <c r="B600" s="50"/>
      <c r="C600" s="50"/>
      <c r="D600" s="50"/>
      <c r="E600" s="50"/>
      <c r="F600" s="50"/>
      <c r="G600" s="13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 spans="1:26" ht="11.25" customHeight="1">
      <c r="A601" s="50"/>
      <c r="B601" s="50"/>
      <c r="C601" s="50"/>
      <c r="D601" s="50"/>
      <c r="E601" s="50"/>
      <c r="F601" s="50"/>
      <c r="G601" s="13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 spans="1:26" ht="11.25" customHeight="1">
      <c r="A602" s="50"/>
      <c r="B602" s="50"/>
      <c r="C602" s="50"/>
      <c r="D602" s="50"/>
      <c r="E602" s="50"/>
      <c r="F602" s="50"/>
      <c r="G602" s="13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 spans="1:26" ht="11.25" customHeight="1">
      <c r="A603" s="50"/>
      <c r="B603" s="50"/>
      <c r="C603" s="50"/>
      <c r="D603" s="50"/>
      <c r="E603" s="50"/>
      <c r="F603" s="50"/>
      <c r="G603" s="13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 spans="1:26" ht="11.25" customHeight="1">
      <c r="A604" s="50"/>
      <c r="B604" s="50"/>
      <c r="C604" s="50"/>
      <c r="D604" s="50"/>
      <c r="E604" s="50"/>
      <c r="F604" s="50"/>
      <c r="G604" s="13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 spans="1:26" ht="11.25" customHeight="1">
      <c r="A605" s="50"/>
      <c r="B605" s="50"/>
      <c r="C605" s="50"/>
      <c r="D605" s="50"/>
      <c r="E605" s="50"/>
      <c r="F605" s="50"/>
      <c r="G605" s="13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 spans="1:26" ht="11.25" customHeight="1">
      <c r="A606" s="50"/>
      <c r="B606" s="50"/>
      <c r="C606" s="50"/>
      <c r="D606" s="50"/>
      <c r="E606" s="50"/>
      <c r="F606" s="50"/>
      <c r="G606" s="13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 spans="1:26" ht="11.25" customHeight="1">
      <c r="A607" s="50"/>
      <c r="B607" s="50"/>
      <c r="C607" s="50"/>
      <c r="D607" s="50"/>
      <c r="E607" s="50"/>
      <c r="F607" s="50"/>
      <c r="G607" s="13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 spans="1:26" ht="11.25" customHeight="1">
      <c r="A608" s="50"/>
      <c r="B608" s="50"/>
      <c r="C608" s="50"/>
      <c r="D608" s="50"/>
      <c r="E608" s="50"/>
      <c r="F608" s="50"/>
      <c r="G608" s="13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 spans="1:26" ht="11.25" customHeight="1">
      <c r="A609" s="50"/>
      <c r="B609" s="50"/>
      <c r="C609" s="50"/>
      <c r="D609" s="50"/>
      <c r="E609" s="50"/>
      <c r="F609" s="50"/>
      <c r="G609" s="13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 spans="1:26" ht="11.25" customHeight="1">
      <c r="A610" s="50"/>
      <c r="B610" s="50"/>
      <c r="C610" s="50"/>
      <c r="D610" s="50"/>
      <c r="E610" s="50"/>
      <c r="F610" s="50"/>
      <c r="G610" s="13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 spans="1:26" ht="11.25" customHeight="1">
      <c r="A611" s="50"/>
      <c r="B611" s="50"/>
      <c r="C611" s="50"/>
      <c r="D611" s="50"/>
      <c r="E611" s="50"/>
      <c r="F611" s="50"/>
      <c r="G611" s="13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 spans="1:26" ht="11.25" customHeight="1">
      <c r="A612" s="50"/>
      <c r="B612" s="50"/>
      <c r="C612" s="50"/>
      <c r="D612" s="50"/>
      <c r="E612" s="50"/>
      <c r="F612" s="50"/>
      <c r="G612" s="13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 spans="1:26" ht="11.25" customHeight="1">
      <c r="A613" s="50"/>
      <c r="B613" s="50"/>
      <c r="C613" s="50"/>
      <c r="D613" s="50"/>
      <c r="E613" s="50"/>
      <c r="F613" s="50"/>
      <c r="G613" s="13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 spans="1:26" ht="11.25" customHeight="1">
      <c r="A614" s="50"/>
      <c r="B614" s="50"/>
      <c r="C614" s="50"/>
      <c r="D614" s="50"/>
      <c r="E614" s="50"/>
      <c r="F614" s="50"/>
      <c r="G614" s="13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 spans="1:26" ht="11.25" customHeight="1">
      <c r="A615" s="50"/>
      <c r="B615" s="50"/>
      <c r="C615" s="50"/>
      <c r="D615" s="50"/>
      <c r="E615" s="50"/>
      <c r="F615" s="50"/>
      <c r="G615" s="13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 spans="1:26" ht="11.25" customHeight="1">
      <c r="A616" s="50"/>
      <c r="B616" s="50"/>
      <c r="C616" s="50"/>
      <c r="D616" s="50"/>
      <c r="E616" s="50"/>
      <c r="F616" s="50"/>
      <c r="G616" s="13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 spans="1:26" ht="11.25" customHeight="1">
      <c r="A617" s="50"/>
      <c r="B617" s="50"/>
      <c r="C617" s="50"/>
      <c r="D617" s="50"/>
      <c r="E617" s="50"/>
      <c r="F617" s="50"/>
      <c r="G617" s="13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 spans="1:26" ht="11.25" customHeight="1">
      <c r="A618" s="50"/>
      <c r="B618" s="50"/>
      <c r="C618" s="50"/>
      <c r="D618" s="50"/>
      <c r="E618" s="50"/>
      <c r="F618" s="50"/>
      <c r="G618" s="13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 spans="1:26" ht="11.25" customHeight="1">
      <c r="A619" s="50"/>
      <c r="B619" s="50"/>
      <c r="C619" s="50"/>
      <c r="D619" s="50"/>
      <c r="E619" s="50"/>
      <c r="F619" s="50"/>
      <c r="G619" s="13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 spans="1:26" ht="11.25" customHeight="1">
      <c r="A620" s="50"/>
      <c r="B620" s="50"/>
      <c r="C620" s="50"/>
      <c r="D620" s="50"/>
      <c r="E620" s="50"/>
      <c r="F620" s="50"/>
      <c r="G620" s="13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 spans="1:26" ht="11.25" customHeight="1">
      <c r="A621" s="50"/>
      <c r="B621" s="50"/>
      <c r="C621" s="50"/>
      <c r="D621" s="50"/>
      <c r="E621" s="50"/>
      <c r="F621" s="50"/>
      <c r="G621" s="13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 spans="1:26" ht="11.25" customHeight="1">
      <c r="A622" s="50"/>
      <c r="B622" s="50"/>
      <c r="C622" s="50"/>
      <c r="D622" s="50"/>
      <c r="E622" s="50"/>
      <c r="F622" s="50"/>
      <c r="G622" s="13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 spans="1:26" ht="11.25" customHeight="1">
      <c r="A623" s="50"/>
      <c r="B623" s="50"/>
      <c r="C623" s="50"/>
      <c r="D623" s="50"/>
      <c r="E623" s="50"/>
      <c r="F623" s="50"/>
      <c r="G623" s="13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 spans="1:26" ht="11.25" customHeight="1">
      <c r="A624" s="50"/>
      <c r="B624" s="50"/>
      <c r="C624" s="50"/>
      <c r="D624" s="50"/>
      <c r="E624" s="50"/>
      <c r="F624" s="50"/>
      <c r="G624" s="13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 spans="1:26" ht="11.25" customHeight="1">
      <c r="A625" s="50"/>
      <c r="B625" s="50"/>
      <c r="C625" s="50"/>
      <c r="D625" s="50"/>
      <c r="E625" s="50"/>
      <c r="F625" s="50"/>
      <c r="G625" s="13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 spans="1:26" ht="11.25" customHeight="1">
      <c r="A626" s="50"/>
      <c r="B626" s="50"/>
      <c r="C626" s="50"/>
      <c r="D626" s="50"/>
      <c r="E626" s="50"/>
      <c r="F626" s="50"/>
      <c r="G626" s="13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 spans="1:26" ht="11.25" customHeight="1">
      <c r="A627" s="50"/>
      <c r="B627" s="50"/>
      <c r="C627" s="50"/>
      <c r="D627" s="50"/>
      <c r="E627" s="50"/>
      <c r="F627" s="50"/>
      <c r="G627" s="13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 spans="1:26" ht="11.25" customHeight="1">
      <c r="A628" s="50"/>
      <c r="B628" s="50"/>
      <c r="C628" s="50"/>
      <c r="D628" s="50"/>
      <c r="E628" s="50"/>
      <c r="F628" s="50"/>
      <c r="G628" s="13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 spans="1:26" ht="11.25" customHeight="1">
      <c r="A629" s="50"/>
      <c r="B629" s="50"/>
      <c r="C629" s="50"/>
      <c r="D629" s="50"/>
      <c r="E629" s="50"/>
      <c r="F629" s="50"/>
      <c r="G629" s="13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 spans="1:26" ht="11.25" customHeight="1">
      <c r="A630" s="50"/>
      <c r="B630" s="50"/>
      <c r="C630" s="50"/>
      <c r="D630" s="50"/>
      <c r="E630" s="50"/>
      <c r="F630" s="50"/>
      <c r="G630" s="13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 spans="1:26" ht="11.25" customHeight="1">
      <c r="A631" s="50"/>
      <c r="B631" s="50"/>
      <c r="C631" s="50"/>
      <c r="D631" s="50"/>
      <c r="E631" s="50"/>
      <c r="F631" s="50"/>
      <c r="G631" s="13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 spans="1:26" ht="11.25" customHeight="1">
      <c r="A632" s="50"/>
      <c r="B632" s="50"/>
      <c r="C632" s="50"/>
      <c r="D632" s="50"/>
      <c r="E632" s="50"/>
      <c r="F632" s="50"/>
      <c r="G632" s="13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 spans="1:26" ht="11.25" customHeight="1">
      <c r="A633" s="50"/>
      <c r="B633" s="50"/>
      <c r="C633" s="50"/>
      <c r="D633" s="50"/>
      <c r="E633" s="50"/>
      <c r="F633" s="50"/>
      <c r="G633" s="13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 spans="1:26" ht="11.25" customHeight="1">
      <c r="A634" s="50"/>
      <c r="B634" s="50"/>
      <c r="C634" s="50"/>
      <c r="D634" s="50"/>
      <c r="E634" s="50"/>
      <c r="F634" s="50"/>
      <c r="G634" s="13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 spans="1:26" ht="11.25" customHeight="1">
      <c r="A635" s="50"/>
      <c r="B635" s="50"/>
      <c r="C635" s="50"/>
      <c r="D635" s="50"/>
      <c r="E635" s="50"/>
      <c r="F635" s="50"/>
      <c r="G635" s="13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 spans="1:26" ht="11.25" customHeight="1">
      <c r="A636" s="50"/>
      <c r="B636" s="50"/>
      <c r="C636" s="50"/>
      <c r="D636" s="50"/>
      <c r="E636" s="50"/>
      <c r="F636" s="50"/>
      <c r="G636" s="13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 spans="1:26" ht="11.25" customHeight="1">
      <c r="A637" s="50"/>
      <c r="B637" s="50"/>
      <c r="C637" s="50"/>
      <c r="D637" s="50"/>
      <c r="E637" s="50"/>
      <c r="F637" s="50"/>
      <c r="G637" s="13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 spans="1:26" ht="11.25" customHeight="1">
      <c r="A638" s="50"/>
      <c r="B638" s="50"/>
      <c r="C638" s="50"/>
      <c r="D638" s="50"/>
      <c r="E638" s="50"/>
      <c r="F638" s="50"/>
      <c r="G638" s="13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 spans="1:26" ht="11.25" customHeight="1">
      <c r="A639" s="50"/>
      <c r="B639" s="50"/>
      <c r="C639" s="50"/>
      <c r="D639" s="50"/>
      <c r="E639" s="50"/>
      <c r="F639" s="50"/>
      <c r="G639" s="13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 spans="1:26" ht="11.25" customHeight="1">
      <c r="A640" s="50"/>
      <c r="B640" s="50"/>
      <c r="C640" s="50"/>
      <c r="D640" s="50"/>
      <c r="E640" s="50"/>
      <c r="F640" s="50"/>
      <c r="G640" s="13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 spans="1:26" ht="11.25" customHeight="1">
      <c r="A641" s="50"/>
      <c r="B641" s="50"/>
      <c r="C641" s="50"/>
      <c r="D641" s="50"/>
      <c r="E641" s="50"/>
      <c r="F641" s="50"/>
      <c r="G641" s="13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 spans="1:26" ht="11.25" customHeight="1">
      <c r="A642" s="50"/>
      <c r="B642" s="50"/>
      <c r="C642" s="50"/>
      <c r="D642" s="50"/>
      <c r="E642" s="50"/>
      <c r="F642" s="50"/>
      <c r="G642" s="13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 spans="1:26" ht="11.25" customHeight="1">
      <c r="A643" s="50"/>
      <c r="B643" s="50"/>
      <c r="C643" s="50"/>
      <c r="D643" s="50"/>
      <c r="E643" s="50"/>
      <c r="F643" s="50"/>
      <c r="G643" s="13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 spans="1:26" ht="11.25" customHeight="1">
      <c r="A644" s="50"/>
      <c r="B644" s="50"/>
      <c r="C644" s="50"/>
      <c r="D644" s="50"/>
      <c r="E644" s="50"/>
      <c r="F644" s="50"/>
      <c r="G644" s="13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 spans="1:26" ht="11.25" customHeight="1">
      <c r="A645" s="50"/>
      <c r="B645" s="50"/>
      <c r="C645" s="50"/>
      <c r="D645" s="50"/>
      <c r="E645" s="50"/>
      <c r="F645" s="50"/>
      <c r="G645" s="13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 spans="1:26" ht="11.25" customHeight="1">
      <c r="A646" s="50"/>
      <c r="B646" s="50"/>
      <c r="C646" s="50"/>
      <c r="D646" s="50"/>
      <c r="E646" s="50"/>
      <c r="F646" s="50"/>
      <c r="G646" s="13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 spans="1:26" ht="11.25" customHeight="1">
      <c r="A647" s="50"/>
      <c r="B647" s="50"/>
      <c r="C647" s="50"/>
      <c r="D647" s="50"/>
      <c r="E647" s="50"/>
      <c r="F647" s="50"/>
      <c r="G647" s="13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 spans="1:26" ht="11.25" customHeight="1">
      <c r="A648" s="50"/>
      <c r="B648" s="50"/>
      <c r="C648" s="50"/>
      <c r="D648" s="50"/>
      <c r="E648" s="50"/>
      <c r="F648" s="50"/>
      <c r="G648" s="13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 spans="1:26" ht="11.25" customHeight="1">
      <c r="A649" s="50"/>
      <c r="B649" s="50"/>
      <c r="C649" s="50"/>
      <c r="D649" s="50"/>
      <c r="E649" s="50"/>
      <c r="F649" s="50"/>
      <c r="G649" s="13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 spans="1:26" ht="11.25" customHeight="1">
      <c r="A650" s="50"/>
      <c r="B650" s="50"/>
      <c r="C650" s="50"/>
      <c r="D650" s="50"/>
      <c r="E650" s="50"/>
      <c r="F650" s="50"/>
      <c r="G650" s="13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 spans="1:26" ht="11.25" customHeight="1">
      <c r="A651" s="50"/>
      <c r="B651" s="50"/>
      <c r="C651" s="50"/>
      <c r="D651" s="50"/>
      <c r="E651" s="50"/>
      <c r="F651" s="50"/>
      <c r="G651" s="13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 spans="1:26" ht="11.25" customHeight="1">
      <c r="A652" s="50"/>
      <c r="B652" s="50"/>
      <c r="C652" s="50"/>
      <c r="D652" s="50"/>
      <c r="E652" s="50"/>
      <c r="F652" s="50"/>
      <c r="G652" s="13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 spans="1:26" ht="11.25" customHeight="1">
      <c r="A653" s="50"/>
      <c r="B653" s="50"/>
      <c r="C653" s="50"/>
      <c r="D653" s="50"/>
      <c r="E653" s="50"/>
      <c r="F653" s="50"/>
      <c r="G653" s="13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 spans="1:26" ht="11.25" customHeight="1">
      <c r="A654" s="50"/>
      <c r="B654" s="50"/>
      <c r="C654" s="50"/>
      <c r="D654" s="50"/>
      <c r="E654" s="50"/>
      <c r="F654" s="50"/>
      <c r="G654" s="13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 spans="1:26" ht="11.25" customHeight="1">
      <c r="A655" s="50"/>
      <c r="B655" s="50"/>
      <c r="C655" s="50"/>
      <c r="D655" s="50"/>
      <c r="E655" s="50"/>
      <c r="F655" s="50"/>
      <c r="G655" s="13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 spans="1:26" ht="11.25" customHeight="1">
      <c r="A656" s="50"/>
      <c r="B656" s="50"/>
      <c r="C656" s="50"/>
      <c r="D656" s="50"/>
      <c r="E656" s="50"/>
      <c r="F656" s="50"/>
      <c r="G656" s="13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 spans="1:26" ht="11.25" customHeight="1">
      <c r="A657" s="50"/>
      <c r="B657" s="50"/>
      <c r="C657" s="50"/>
      <c r="D657" s="50"/>
      <c r="E657" s="50"/>
      <c r="F657" s="50"/>
      <c r="G657" s="13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 spans="1:26" ht="11.25" customHeight="1">
      <c r="A658" s="50"/>
      <c r="B658" s="50"/>
      <c r="C658" s="50"/>
      <c r="D658" s="50"/>
      <c r="E658" s="50"/>
      <c r="F658" s="50"/>
      <c r="G658" s="13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 spans="1:26" ht="11.25" customHeight="1">
      <c r="A659" s="50"/>
      <c r="B659" s="50"/>
      <c r="C659" s="50"/>
      <c r="D659" s="50"/>
      <c r="E659" s="50"/>
      <c r="F659" s="50"/>
      <c r="G659" s="13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 spans="1:26" ht="11.25" customHeight="1">
      <c r="A660" s="50"/>
      <c r="B660" s="50"/>
      <c r="C660" s="50"/>
      <c r="D660" s="50"/>
      <c r="E660" s="50"/>
      <c r="F660" s="50"/>
      <c r="G660" s="13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 spans="1:26" ht="11.25" customHeight="1">
      <c r="A661" s="50"/>
      <c r="B661" s="50"/>
      <c r="C661" s="50"/>
      <c r="D661" s="50"/>
      <c r="E661" s="50"/>
      <c r="F661" s="50"/>
      <c r="G661" s="13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 spans="1:26" ht="11.25" customHeight="1">
      <c r="A662" s="50"/>
      <c r="B662" s="50"/>
      <c r="C662" s="50"/>
      <c r="D662" s="50"/>
      <c r="E662" s="50"/>
      <c r="F662" s="50"/>
      <c r="G662" s="13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 spans="1:26" ht="11.25" customHeight="1">
      <c r="A663" s="50"/>
      <c r="B663" s="50"/>
      <c r="C663" s="50"/>
      <c r="D663" s="50"/>
      <c r="E663" s="50"/>
      <c r="F663" s="50"/>
      <c r="G663" s="13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 spans="1:26" ht="11.25" customHeight="1">
      <c r="A664" s="50"/>
      <c r="B664" s="50"/>
      <c r="C664" s="50"/>
      <c r="D664" s="50"/>
      <c r="E664" s="50"/>
      <c r="F664" s="50"/>
      <c r="G664" s="13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 spans="1:26" ht="11.25" customHeight="1">
      <c r="A665" s="50"/>
      <c r="B665" s="50"/>
      <c r="C665" s="50"/>
      <c r="D665" s="50"/>
      <c r="E665" s="50"/>
      <c r="F665" s="50"/>
      <c r="G665" s="13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 spans="1:26" ht="11.25" customHeight="1">
      <c r="A666" s="50"/>
      <c r="B666" s="50"/>
      <c r="C666" s="50"/>
      <c r="D666" s="50"/>
      <c r="E666" s="50"/>
      <c r="F666" s="50"/>
      <c r="G666" s="13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 spans="1:26" ht="11.25" customHeight="1">
      <c r="A667" s="50"/>
      <c r="B667" s="50"/>
      <c r="C667" s="50"/>
      <c r="D667" s="50"/>
      <c r="E667" s="50"/>
      <c r="F667" s="50"/>
      <c r="G667" s="13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 spans="1:26" ht="11.25" customHeight="1">
      <c r="A668" s="50"/>
      <c r="B668" s="50"/>
      <c r="C668" s="50"/>
      <c r="D668" s="50"/>
      <c r="E668" s="50"/>
      <c r="F668" s="50"/>
      <c r="G668" s="13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 spans="1:26" ht="11.25" customHeight="1">
      <c r="A669" s="50"/>
      <c r="B669" s="50"/>
      <c r="C669" s="50"/>
      <c r="D669" s="50"/>
      <c r="E669" s="50"/>
      <c r="F669" s="50"/>
      <c r="G669" s="13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 spans="1:26" ht="11.25" customHeight="1">
      <c r="A670" s="50"/>
      <c r="B670" s="50"/>
      <c r="C670" s="50"/>
      <c r="D670" s="50"/>
      <c r="E670" s="50"/>
      <c r="F670" s="50"/>
      <c r="G670" s="13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 spans="1:26" ht="11.25" customHeight="1">
      <c r="A671" s="50"/>
      <c r="B671" s="50"/>
      <c r="C671" s="50"/>
      <c r="D671" s="50"/>
      <c r="E671" s="50"/>
      <c r="F671" s="50"/>
      <c r="G671" s="13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 spans="1:26" ht="11.25" customHeight="1">
      <c r="A672" s="50"/>
      <c r="B672" s="50"/>
      <c r="C672" s="50"/>
      <c r="D672" s="50"/>
      <c r="E672" s="50"/>
      <c r="F672" s="50"/>
      <c r="G672" s="13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 spans="1:26" ht="11.25" customHeight="1">
      <c r="A673" s="50"/>
      <c r="B673" s="50"/>
      <c r="C673" s="50"/>
      <c r="D673" s="50"/>
      <c r="E673" s="50"/>
      <c r="F673" s="50"/>
      <c r="G673" s="13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 spans="1:26" ht="11.25" customHeight="1">
      <c r="A674" s="50"/>
      <c r="B674" s="50"/>
      <c r="C674" s="50"/>
      <c r="D674" s="50"/>
      <c r="E674" s="50"/>
      <c r="F674" s="50"/>
      <c r="G674" s="13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 spans="1:26" ht="11.25" customHeight="1">
      <c r="A675" s="50"/>
      <c r="B675" s="50"/>
      <c r="C675" s="50"/>
      <c r="D675" s="50"/>
      <c r="E675" s="50"/>
      <c r="F675" s="50"/>
      <c r="G675" s="13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 spans="1:26" ht="11.25" customHeight="1">
      <c r="A676" s="50"/>
      <c r="B676" s="50"/>
      <c r="C676" s="50"/>
      <c r="D676" s="50"/>
      <c r="E676" s="50"/>
      <c r="F676" s="50"/>
      <c r="G676" s="13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 spans="1:26" ht="11.25" customHeight="1">
      <c r="A677" s="50"/>
      <c r="B677" s="50"/>
      <c r="C677" s="50"/>
      <c r="D677" s="50"/>
      <c r="E677" s="50"/>
      <c r="F677" s="50"/>
      <c r="G677" s="13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 spans="1:26" ht="11.25" customHeight="1">
      <c r="A678" s="50"/>
      <c r="B678" s="50"/>
      <c r="C678" s="50"/>
      <c r="D678" s="50"/>
      <c r="E678" s="50"/>
      <c r="F678" s="50"/>
      <c r="G678" s="13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 spans="1:26" ht="11.25" customHeight="1">
      <c r="A679" s="50"/>
      <c r="B679" s="50"/>
      <c r="C679" s="50"/>
      <c r="D679" s="50"/>
      <c r="E679" s="50"/>
      <c r="F679" s="50"/>
      <c r="G679" s="13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 spans="1:26" ht="11.25" customHeight="1">
      <c r="A680" s="50"/>
      <c r="B680" s="50"/>
      <c r="C680" s="50"/>
      <c r="D680" s="50"/>
      <c r="E680" s="50"/>
      <c r="F680" s="50"/>
      <c r="G680" s="13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 spans="1:26" ht="11.25" customHeight="1">
      <c r="A681" s="50"/>
      <c r="B681" s="50"/>
      <c r="C681" s="50"/>
      <c r="D681" s="50"/>
      <c r="E681" s="50"/>
      <c r="F681" s="50"/>
      <c r="G681" s="13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 spans="1:26" ht="11.25" customHeight="1">
      <c r="A682" s="50"/>
      <c r="B682" s="50"/>
      <c r="C682" s="50"/>
      <c r="D682" s="50"/>
      <c r="E682" s="50"/>
      <c r="F682" s="50"/>
      <c r="G682" s="13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 spans="1:26" ht="11.25" customHeight="1">
      <c r="A683" s="50"/>
      <c r="B683" s="50"/>
      <c r="C683" s="50"/>
      <c r="D683" s="50"/>
      <c r="E683" s="50"/>
      <c r="F683" s="50"/>
      <c r="G683" s="13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 spans="1:26" ht="11.25" customHeight="1">
      <c r="A684" s="50"/>
      <c r="B684" s="50"/>
      <c r="C684" s="50"/>
      <c r="D684" s="50"/>
      <c r="E684" s="50"/>
      <c r="F684" s="50"/>
      <c r="G684" s="13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 spans="1:26" ht="11.25" customHeight="1">
      <c r="A685" s="50"/>
      <c r="B685" s="50"/>
      <c r="C685" s="50"/>
      <c r="D685" s="50"/>
      <c r="E685" s="50"/>
      <c r="F685" s="50"/>
      <c r="G685" s="13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 spans="1:26" ht="11.25" customHeight="1">
      <c r="A686" s="50"/>
      <c r="B686" s="50"/>
      <c r="C686" s="50"/>
      <c r="D686" s="50"/>
      <c r="E686" s="50"/>
      <c r="F686" s="50"/>
      <c r="G686" s="13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 spans="1:26" ht="11.25" customHeight="1">
      <c r="A687" s="50"/>
      <c r="B687" s="50"/>
      <c r="C687" s="50"/>
      <c r="D687" s="50"/>
      <c r="E687" s="50"/>
      <c r="F687" s="50"/>
      <c r="G687" s="13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 spans="1:26" ht="11.25" customHeight="1">
      <c r="A688" s="50"/>
      <c r="B688" s="50"/>
      <c r="C688" s="50"/>
      <c r="D688" s="50"/>
      <c r="E688" s="50"/>
      <c r="F688" s="50"/>
      <c r="G688" s="13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 spans="1:26" ht="11.25" customHeight="1">
      <c r="A689" s="50"/>
      <c r="B689" s="50"/>
      <c r="C689" s="50"/>
      <c r="D689" s="50"/>
      <c r="E689" s="50"/>
      <c r="F689" s="50"/>
      <c r="G689" s="13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 spans="1:26" ht="11.25" customHeight="1">
      <c r="A690" s="50"/>
      <c r="B690" s="50"/>
      <c r="C690" s="50"/>
      <c r="D690" s="50"/>
      <c r="E690" s="50"/>
      <c r="F690" s="50"/>
      <c r="G690" s="13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 spans="1:26" ht="11.25" customHeight="1">
      <c r="A691" s="50"/>
      <c r="B691" s="50"/>
      <c r="C691" s="50"/>
      <c r="D691" s="50"/>
      <c r="E691" s="50"/>
      <c r="F691" s="50"/>
      <c r="G691" s="13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 spans="1:26" ht="11.25" customHeight="1">
      <c r="A692" s="50"/>
      <c r="B692" s="50"/>
      <c r="C692" s="50"/>
      <c r="D692" s="50"/>
      <c r="E692" s="50"/>
      <c r="F692" s="50"/>
      <c r="G692" s="13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 spans="1:26" ht="11.25" customHeight="1">
      <c r="A693" s="50"/>
      <c r="B693" s="50"/>
      <c r="C693" s="50"/>
      <c r="D693" s="50"/>
      <c r="E693" s="50"/>
      <c r="F693" s="50"/>
      <c r="G693" s="13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 spans="1:26" ht="11.25" customHeight="1">
      <c r="A694" s="50"/>
      <c r="B694" s="50"/>
      <c r="C694" s="50"/>
      <c r="D694" s="50"/>
      <c r="E694" s="50"/>
      <c r="F694" s="50"/>
      <c r="G694" s="13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 spans="1:26" ht="11.25" customHeight="1">
      <c r="A695" s="50"/>
      <c r="B695" s="50"/>
      <c r="C695" s="50"/>
      <c r="D695" s="50"/>
      <c r="E695" s="50"/>
      <c r="F695" s="50"/>
      <c r="G695" s="13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 spans="1:26" ht="11.25" customHeight="1">
      <c r="A696" s="50"/>
      <c r="B696" s="50"/>
      <c r="C696" s="50"/>
      <c r="D696" s="50"/>
      <c r="E696" s="50"/>
      <c r="F696" s="50"/>
      <c r="G696" s="13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 spans="1:26" ht="11.25" customHeight="1">
      <c r="A697" s="50"/>
      <c r="B697" s="50"/>
      <c r="C697" s="50"/>
      <c r="D697" s="50"/>
      <c r="E697" s="50"/>
      <c r="F697" s="50"/>
      <c r="G697" s="13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 spans="1:26" ht="11.25" customHeight="1">
      <c r="A698" s="50"/>
      <c r="B698" s="50"/>
      <c r="C698" s="50"/>
      <c r="D698" s="50"/>
      <c r="E698" s="50"/>
      <c r="F698" s="50"/>
      <c r="G698" s="13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 spans="1:26" ht="11.25" customHeight="1">
      <c r="A699" s="50"/>
      <c r="B699" s="50"/>
      <c r="C699" s="50"/>
      <c r="D699" s="50"/>
      <c r="E699" s="50"/>
      <c r="F699" s="50"/>
      <c r="G699" s="13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 spans="1:26" ht="11.25" customHeight="1">
      <c r="A700" s="50"/>
      <c r="B700" s="50"/>
      <c r="C700" s="50"/>
      <c r="D700" s="50"/>
      <c r="E700" s="50"/>
      <c r="F700" s="50"/>
      <c r="G700" s="13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 spans="1:26" ht="11.25" customHeight="1">
      <c r="A701" s="50"/>
      <c r="B701" s="50"/>
      <c r="C701" s="50"/>
      <c r="D701" s="50"/>
      <c r="E701" s="50"/>
      <c r="F701" s="50"/>
      <c r="G701" s="13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 spans="1:26" ht="11.25" customHeight="1">
      <c r="A702" s="50"/>
      <c r="B702" s="50"/>
      <c r="C702" s="50"/>
      <c r="D702" s="50"/>
      <c r="E702" s="50"/>
      <c r="F702" s="50"/>
      <c r="G702" s="13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 spans="1:26" ht="11.25" customHeight="1">
      <c r="A703" s="50"/>
      <c r="B703" s="50"/>
      <c r="C703" s="50"/>
      <c r="D703" s="50"/>
      <c r="E703" s="50"/>
      <c r="F703" s="50"/>
      <c r="G703" s="13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 spans="1:26" ht="11.25" customHeight="1">
      <c r="A704" s="50"/>
      <c r="B704" s="50"/>
      <c r="C704" s="50"/>
      <c r="D704" s="50"/>
      <c r="E704" s="50"/>
      <c r="F704" s="50"/>
      <c r="G704" s="13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 spans="1:26" ht="11.25" customHeight="1">
      <c r="A705" s="50"/>
      <c r="B705" s="50"/>
      <c r="C705" s="50"/>
      <c r="D705" s="50"/>
      <c r="E705" s="50"/>
      <c r="F705" s="50"/>
      <c r="G705" s="13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 spans="1:26" ht="11.25" customHeight="1">
      <c r="A706" s="50"/>
      <c r="B706" s="50"/>
      <c r="C706" s="50"/>
      <c r="D706" s="50"/>
      <c r="E706" s="50"/>
      <c r="F706" s="50"/>
      <c r="G706" s="13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 spans="1:26" ht="11.25" customHeight="1">
      <c r="A707" s="50"/>
      <c r="B707" s="50"/>
      <c r="C707" s="50"/>
      <c r="D707" s="50"/>
      <c r="E707" s="50"/>
      <c r="F707" s="50"/>
      <c r="G707" s="13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 spans="1:26" ht="11.25" customHeight="1">
      <c r="A708" s="50"/>
      <c r="B708" s="50"/>
      <c r="C708" s="50"/>
      <c r="D708" s="50"/>
      <c r="E708" s="50"/>
      <c r="F708" s="50"/>
      <c r="G708" s="13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 spans="1:26" ht="11.25" customHeight="1">
      <c r="A709" s="50"/>
      <c r="B709" s="50"/>
      <c r="C709" s="50"/>
      <c r="D709" s="50"/>
      <c r="E709" s="50"/>
      <c r="F709" s="50"/>
      <c r="G709" s="13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 spans="1:26" ht="11.25" customHeight="1">
      <c r="A710" s="50"/>
      <c r="B710" s="50"/>
      <c r="C710" s="50"/>
      <c r="D710" s="50"/>
      <c r="E710" s="50"/>
      <c r="F710" s="50"/>
      <c r="G710" s="13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 spans="1:26" ht="11.25" customHeight="1">
      <c r="A711" s="50"/>
      <c r="B711" s="50"/>
      <c r="C711" s="50"/>
      <c r="D711" s="50"/>
      <c r="E711" s="50"/>
      <c r="F711" s="50"/>
      <c r="G711" s="13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 spans="1:26" ht="11.25" customHeight="1">
      <c r="A712" s="50"/>
      <c r="B712" s="50"/>
      <c r="C712" s="50"/>
      <c r="D712" s="50"/>
      <c r="E712" s="50"/>
      <c r="F712" s="50"/>
      <c r="G712" s="13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 spans="1:26" ht="11.25" customHeight="1">
      <c r="A713" s="50"/>
      <c r="B713" s="50"/>
      <c r="C713" s="50"/>
      <c r="D713" s="50"/>
      <c r="E713" s="50"/>
      <c r="F713" s="50"/>
      <c r="G713" s="13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 spans="1:26" ht="11.25" customHeight="1">
      <c r="A714" s="50"/>
      <c r="B714" s="50"/>
      <c r="C714" s="50"/>
      <c r="D714" s="50"/>
      <c r="E714" s="50"/>
      <c r="F714" s="50"/>
      <c r="G714" s="13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 spans="1:26" ht="11.25" customHeight="1">
      <c r="A715" s="50"/>
      <c r="B715" s="50"/>
      <c r="C715" s="50"/>
      <c r="D715" s="50"/>
      <c r="E715" s="50"/>
      <c r="F715" s="50"/>
      <c r="G715" s="13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 spans="1:26" ht="11.25" customHeight="1">
      <c r="A716" s="50"/>
      <c r="B716" s="50"/>
      <c r="C716" s="50"/>
      <c r="D716" s="50"/>
      <c r="E716" s="50"/>
      <c r="F716" s="50"/>
      <c r="G716" s="13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 spans="1:26" ht="11.25" customHeight="1">
      <c r="A717" s="50"/>
      <c r="B717" s="50"/>
      <c r="C717" s="50"/>
      <c r="D717" s="50"/>
      <c r="E717" s="50"/>
      <c r="F717" s="50"/>
      <c r="G717" s="13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 spans="1:26" ht="11.25" customHeight="1">
      <c r="A718" s="50"/>
      <c r="B718" s="50"/>
      <c r="C718" s="50"/>
      <c r="D718" s="50"/>
      <c r="E718" s="50"/>
      <c r="F718" s="50"/>
      <c r="G718" s="13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 spans="1:26" ht="11.25" customHeight="1">
      <c r="A719" s="50"/>
      <c r="B719" s="50"/>
      <c r="C719" s="50"/>
      <c r="D719" s="50"/>
      <c r="E719" s="50"/>
      <c r="F719" s="50"/>
      <c r="G719" s="13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 spans="1:26" ht="11.25" customHeight="1">
      <c r="A720" s="50"/>
      <c r="B720" s="50"/>
      <c r="C720" s="50"/>
      <c r="D720" s="50"/>
      <c r="E720" s="50"/>
      <c r="F720" s="50"/>
      <c r="G720" s="13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 spans="1:26" ht="11.25" customHeight="1">
      <c r="A721" s="50"/>
      <c r="B721" s="50"/>
      <c r="C721" s="50"/>
      <c r="D721" s="50"/>
      <c r="E721" s="50"/>
      <c r="F721" s="50"/>
      <c r="G721" s="13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 spans="1:26" ht="11.25" customHeight="1">
      <c r="A722" s="50"/>
      <c r="B722" s="50"/>
      <c r="C722" s="50"/>
      <c r="D722" s="50"/>
      <c r="E722" s="50"/>
      <c r="F722" s="50"/>
      <c r="G722" s="13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 spans="1:26" ht="11.25" customHeight="1">
      <c r="A723" s="50"/>
      <c r="B723" s="50"/>
      <c r="C723" s="50"/>
      <c r="D723" s="50"/>
      <c r="E723" s="50"/>
      <c r="F723" s="50"/>
      <c r="G723" s="13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 spans="1:26" ht="11.25" customHeight="1">
      <c r="A724" s="50"/>
      <c r="B724" s="50"/>
      <c r="C724" s="50"/>
      <c r="D724" s="50"/>
      <c r="E724" s="50"/>
      <c r="F724" s="50"/>
      <c r="G724" s="13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 spans="1:26" ht="11.25" customHeight="1">
      <c r="A725" s="50"/>
      <c r="B725" s="50"/>
      <c r="C725" s="50"/>
      <c r="D725" s="50"/>
      <c r="E725" s="50"/>
      <c r="F725" s="50"/>
      <c r="G725" s="13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 spans="1:26" ht="11.25" customHeight="1">
      <c r="A726" s="50"/>
      <c r="B726" s="50"/>
      <c r="C726" s="50"/>
      <c r="D726" s="50"/>
      <c r="E726" s="50"/>
      <c r="F726" s="50"/>
      <c r="G726" s="13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 spans="1:26" ht="11.25" customHeight="1">
      <c r="A727" s="50"/>
      <c r="B727" s="50"/>
      <c r="C727" s="50"/>
      <c r="D727" s="50"/>
      <c r="E727" s="50"/>
      <c r="F727" s="50"/>
      <c r="G727" s="13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 spans="1:26" ht="11.25" customHeight="1">
      <c r="A728" s="50"/>
      <c r="B728" s="50"/>
      <c r="C728" s="50"/>
      <c r="D728" s="50"/>
      <c r="E728" s="50"/>
      <c r="F728" s="50"/>
      <c r="G728" s="13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 spans="1:26" ht="11.25" customHeight="1">
      <c r="A729" s="50"/>
      <c r="B729" s="50"/>
      <c r="C729" s="50"/>
      <c r="D729" s="50"/>
      <c r="E729" s="50"/>
      <c r="F729" s="50"/>
      <c r="G729" s="13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 spans="1:26" ht="11.25" customHeight="1">
      <c r="A730" s="50"/>
      <c r="B730" s="50"/>
      <c r="C730" s="50"/>
      <c r="D730" s="50"/>
      <c r="E730" s="50"/>
      <c r="F730" s="50"/>
      <c r="G730" s="13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 spans="1:26" ht="11.25" customHeight="1">
      <c r="A731" s="50"/>
      <c r="B731" s="50"/>
      <c r="C731" s="50"/>
      <c r="D731" s="50"/>
      <c r="E731" s="50"/>
      <c r="F731" s="50"/>
      <c r="G731" s="13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 spans="1:26" ht="11.25" customHeight="1">
      <c r="A732" s="50"/>
      <c r="B732" s="50"/>
      <c r="C732" s="50"/>
      <c r="D732" s="50"/>
      <c r="E732" s="50"/>
      <c r="F732" s="50"/>
      <c r="G732" s="13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 spans="1:26" ht="11.25" customHeight="1">
      <c r="A733" s="50"/>
      <c r="B733" s="50"/>
      <c r="C733" s="50"/>
      <c r="D733" s="50"/>
      <c r="E733" s="50"/>
      <c r="F733" s="50"/>
      <c r="G733" s="13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 spans="1:26" ht="11.25" customHeight="1">
      <c r="A734" s="50"/>
      <c r="B734" s="50"/>
      <c r="C734" s="50"/>
      <c r="D734" s="50"/>
      <c r="E734" s="50"/>
      <c r="F734" s="50"/>
      <c r="G734" s="13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 spans="1:26" ht="11.25" customHeight="1">
      <c r="A735" s="50"/>
      <c r="B735" s="50"/>
      <c r="C735" s="50"/>
      <c r="D735" s="50"/>
      <c r="E735" s="50"/>
      <c r="F735" s="50"/>
      <c r="G735" s="13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 spans="1:26" ht="11.25" customHeight="1">
      <c r="A736" s="50"/>
      <c r="B736" s="50"/>
      <c r="C736" s="50"/>
      <c r="D736" s="50"/>
      <c r="E736" s="50"/>
      <c r="F736" s="50"/>
      <c r="G736" s="13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 spans="1:26" ht="11.25" customHeight="1">
      <c r="A737" s="50"/>
      <c r="B737" s="50"/>
      <c r="C737" s="50"/>
      <c r="D737" s="50"/>
      <c r="E737" s="50"/>
      <c r="F737" s="50"/>
      <c r="G737" s="13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 spans="1:26" ht="11.25" customHeight="1">
      <c r="A738" s="50"/>
      <c r="B738" s="50"/>
      <c r="C738" s="50"/>
      <c r="D738" s="50"/>
      <c r="E738" s="50"/>
      <c r="F738" s="50"/>
      <c r="G738" s="13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 spans="1:26" ht="11.25" customHeight="1">
      <c r="A739" s="50"/>
      <c r="B739" s="50"/>
      <c r="C739" s="50"/>
      <c r="D739" s="50"/>
      <c r="E739" s="50"/>
      <c r="F739" s="50"/>
      <c r="G739" s="13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 spans="1:26" ht="11.25" customHeight="1">
      <c r="A740" s="50"/>
      <c r="B740" s="50"/>
      <c r="C740" s="50"/>
      <c r="D740" s="50"/>
      <c r="E740" s="50"/>
      <c r="F740" s="50"/>
      <c r="G740" s="13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 spans="1:26" ht="11.25" customHeight="1">
      <c r="A741" s="50"/>
      <c r="B741" s="50"/>
      <c r="C741" s="50"/>
      <c r="D741" s="50"/>
      <c r="E741" s="50"/>
      <c r="F741" s="50"/>
      <c r="G741" s="13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 spans="1:26" ht="11.25" customHeight="1">
      <c r="A742" s="50"/>
      <c r="B742" s="50"/>
      <c r="C742" s="50"/>
      <c r="D742" s="50"/>
      <c r="E742" s="50"/>
      <c r="F742" s="50"/>
      <c r="G742" s="13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 spans="1:26" ht="11.25" customHeight="1">
      <c r="A743" s="50"/>
      <c r="B743" s="50"/>
      <c r="C743" s="50"/>
      <c r="D743" s="50"/>
      <c r="E743" s="50"/>
      <c r="F743" s="50"/>
      <c r="G743" s="13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 spans="1:26" ht="11.25" customHeight="1">
      <c r="A744" s="50"/>
      <c r="B744" s="50"/>
      <c r="C744" s="50"/>
      <c r="D744" s="50"/>
      <c r="E744" s="50"/>
      <c r="F744" s="50"/>
      <c r="G744" s="13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 spans="1:26" ht="11.25" customHeight="1">
      <c r="A745" s="50"/>
      <c r="B745" s="50"/>
      <c r="C745" s="50"/>
      <c r="D745" s="50"/>
      <c r="E745" s="50"/>
      <c r="F745" s="50"/>
      <c r="G745" s="13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 spans="1:26" ht="11.25" customHeight="1">
      <c r="A746" s="50"/>
      <c r="B746" s="50"/>
      <c r="C746" s="50"/>
      <c r="D746" s="50"/>
      <c r="E746" s="50"/>
      <c r="F746" s="50"/>
      <c r="G746" s="13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 spans="1:26" ht="11.25" customHeight="1">
      <c r="A747" s="50"/>
      <c r="B747" s="50"/>
      <c r="C747" s="50"/>
      <c r="D747" s="50"/>
      <c r="E747" s="50"/>
      <c r="F747" s="50"/>
      <c r="G747" s="13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 spans="1:26" ht="11.25" customHeight="1">
      <c r="A748" s="50"/>
      <c r="B748" s="50"/>
      <c r="C748" s="50"/>
      <c r="D748" s="50"/>
      <c r="E748" s="50"/>
      <c r="F748" s="50"/>
      <c r="G748" s="13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 spans="1:26" ht="11.25" customHeight="1">
      <c r="A749" s="50"/>
      <c r="B749" s="50"/>
      <c r="C749" s="50"/>
      <c r="D749" s="50"/>
      <c r="E749" s="50"/>
      <c r="F749" s="50"/>
      <c r="G749" s="13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 spans="1:26" ht="11.25" customHeight="1">
      <c r="A750" s="50"/>
      <c r="B750" s="50"/>
      <c r="C750" s="50"/>
      <c r="D750" s="50"/>
      <c r="E750" s="50"/>
      <c r="F750" s="50"/>
      <c r="G750" s="13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 spans="1:26" ht="11.25" customHeight="1">
      <c r="A751" s="50"/>
      <c r="B751" s="50"/>
      <c r="C751" s="50"/>
      <c r="D751" s="50"/>
      <c r="E751" s="50"/>
      <c r="F751" s="50"/>
      <c r="G751" s="13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 spans="1:26" ht="11.25" customHeight="1">
      <c r="A752" s="50"/>
      <c r="B752" s="50"/>
      <c r="C752" s="50"/>
      <c r="D752" s="50"/>
      <c r="E752" s="50"/>
      <c r="F752" s="50"/>
      <c r="G752" s="13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 spans="1:26" ht="11.25" customHeight="1">
      <c r="A753" s="50"/>
      <c r="B753" s="50"/>
      <c r="C753" s="50"/>
      <c r="D753" s="50"/>
      <c r="E753" s="50"/>
      <c r="F753" s="50"/>
      <c r="G753" s="13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 spans="1:26" ht="11.25" customHeight="1">
      <c r="A754" s="50"/>
      <c r="B754" s="50"/>
      <c r="C754" s="50"/>
      <c r="D754" s="50"/>
      <c r="E754" s="50"/>
      <c r="F754" s="50"/>
      <c r="G754" s="13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 spans="1:26" ht="11.25" customHeight="1">
      <c r="A755" s="50"/>
      <c r="B755" s="50"/>
      <c r="C755" s="50"/>
      <c r="D755" s="50"/>
      <c r="E755" s="50"/>
      <c r="F755" s="50"/>
      <c r="G755" s="13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 spans="1:26" ht="11.25" customHeight="1">
      <c r="A756" s="50"/>
      <c r="B756" s="50"/>
      <c r="C756" s="50"/>
      <c r="D756" s="50"/>
      <c r="E756" s="50"/>
      <c r="F756" s="50"/>
      <c r="G756" s="13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 spans="1:26" ht="11.25" customHeight="1">
      <c r="A757" s="50"/>
      <c r="B757" s="50"/>
      <c r="C757" s="50"/>
      <c r="D757" s="50"/>
      <c r="E757" s="50"/>
      <c r="F757" s="50"/>
      <c r="G757" s="13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 spans="1:26" ht="11.25" customHeight="1">
      <c r="A758" s="50"/>
      <c r="B758" s="50"/>
      <c r="C758" s="50"/>
      <c r="D758" s="50"/>
      <c r="E758" s="50"/>
      <c r="F758" s="50"/>
      <c r="G758" s="13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 spans="1:26" ht="11.25" customHeight="1">
      <c r="A759" s="50"/>
      <c r="B759" s="50"/>
      <c r="C759" s="50"/>
      <c r="D759" s="50"/>
      <c r="E759" s="50"/>
      <c r="F759" s="50"/>
      <c r="G759" s="13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 spans="1:26" ht="11.25" customHeight="1">
      <c r="A760" s="50"/>
      <c r="B760" s="50"/>
      <c r="C760" s="50"/>
      <c r="D760" s="50"/>
      <c r="E760" s="50"/>
      <c r="F760" s="50"/>
      <c r="G760" s="13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 spans="1:26" ht="11.25" customHeight="1">
      <c r="A761" s="50"/>
      <c r="B761" s="50"/>
      <c r="C761" s="50"/>
      <c r="D761" s="50"/>
      <c r="E761" s="50"/>
      <c r="F761" s="50"/>
      <c r="G761" s="13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 spans="1:26" ht="11.25" customHeight="1">
      <c r="A762" s="50"/>
      <c r="B762" s="50"/>
      <c r="C762" s="50"/>
      <c r="D762" s="50"/>
      <c r="E762" s="50"/>
      <c r="F762" s="50"/>
      <c r="G762" s="13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 spans="1:26" ht="11.25" customHeight="1">
      <c r="A763" s="50"/>
      <c r="B763" s="50"/>
      <c r="C763" s="50"/>
      <c r="D763" s="50"/>
      <c r="E763" s="50"/>
      <c r="F763" s="50"/>
      <c r="G763" s="13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 spans="1:26" ht="11.25" customHeight="1">
      <c r="A764" s="50"/>
      <c r="B764" s="50"/>
      <c r="C764" s="50"/>
      <c r="D764" s="50"/>
      <c r="E764" s="50"/>
      <c r="F764" s="50"/>
      <c r="G764" s="13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 spans="1:26" ht="11.25" customHeight="1">
      <c r="A765" s="50"/>
      <c r="B765" s="50"/>
      <c r="C765" s="50"/>
      <c r="D765" s="50"/>
      <c r="E765" s="50"/>
      <c r="F765" s="50"/>
      <c r="G765" s="13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 spans="1:26" ht="11.25" customHeight="1">
      <c r="A766" s="50"/>
      <c r="B766" s="50"/>
      <c r="C766" s="50"/>
      <c r="D766" s="50"/>
      <c r="E766" s="50"/>
      <c r="F766" s="50"/>
      <c r="G766" s="13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 spans="1:26" ht="11.25" customHeight="1">
      <c r="A767" s="50"/>
      <c r="B767" s="50"/>
      <c r="C767" s="50"/>
      <c r="D767" s="50"/>
      <c r="E767" s="50"/>
      <c r="F767" s="50"/>
      <c r="G767" s="13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 spans="1:26" ht="11.25" customHeight="1">
      <c r="A768" s="50"/>
      <c r="B768" s="50"/>
      <c r="C768" s="50"/>
      <c r="D768" s="50"/>
      <c r="E768" s="50"/>
      <c r="F768" s="50"/>
      <c r="G768" s="13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 spans="1:26" ht="11.25" customHeight="1">
      <c r="A769" s="50"/>
      <c r="B769" s="50"/>
      <c r="C769" s="50"/>
      <c r="D769" s="50"/>
      <c r="E769" s="50"/>
      <c r="F769" s="50"/>
      <c r="G769" s="13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 spans="1:26" ht="11.25" customHeight="1">
      <c r="A770" s="50"/>
      <c r="B770" s="50"/>
      <c r="C770" s="50"/>
      <c r="D770" s="50"/>
      <c r="E770" s="50"/>
      <c r="F770" s="50"/>
      <c r="G770" s="13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 spans="1:26" ht="11.25" customHeight="1">
      <c r="A771" s="50"/>
      <c r="B771" s="50"/>
      <c r="C771" s="50"/>
      <c r="D771" s="50"/>
      <c r="E771" s="50"/>
      <c r="F771" s="50"/>
      <c r="G771" s="13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 spans="1:26" ht="11.25" customHeight="1">
      <c r="A772" s="50"/>
      <c r="B772" s="50"/>
      <c r="C772" s="50"/>
      <c r="D772" s="50"/>
      <c r="E772" s="50"/>
      <c r="F772" s="50"/>
      <c r="G772" s="13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 spans="1:26" ht="11.25" customHeight="1">
      <c r="A773" s="50"/>
      <c r="B773" s="50"/>
      <c r="C773" s="50"/>
      <c r="D773" s="50"/>
      <c r="E773" s="50"/>
      <c r="F773" s="50"/>
      <c r="G773" s="13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 spans="1:26" ht="11.25" customHeight="1">
      <c r="A774" s="50"/>
      <c r="B774" s="50"/>
      <c r="C774" s="50"/>
      <c r="D774" s="50"/>
      <c r="E774" s="50"/>
      <c r="F774" s="50"/>
      <c r="G774" s="13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 spans="1:26" ht="11.25" customHeight="1">
      <c r="A775" s="50"/>
      <c r="B775" s="50"/>
      <c r="C775" s="50"/>
      <c r="D775" s="50"/>
      <c r="E775" s="50"/>
      <c r="F775" s="50"/>
      <c r="G775" s="13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 spans="1:26" ht="11.25" customHeight="1">
      <c r="A776" s="50"/>
      <c r="B776" s="50"/>
      <c r="C776" s="50"/>
      <c r="D776" s="50"/>
      <c r="E776" s="50"/>
      <c r="F776" s="50"/>
      <c r="G776" s="13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 spans="1:26" ht="11.25" customHeight="1">
      <c r="A777" s="50"/>
      <c r="B777" s="50"/>
      <c r="C777" s="50"/>
      <c r="D777" s="50"/>
      <c r="E777" s="50"/>
      <c r="F777" s="50"/>
      <c r="G777" s="13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 spans="1:26" ht="11.25" customHeight="1">
      <c r="A778" s="50"/>
      <c r="B778" s="50"/>
      <c r="C778" s="50"/>
      <c r="D778" s="50"/>
      <c r="E778" s="50"/>
      <c r="F778" s="50"/>
      <c r="G778" s="13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 spans="1:26" ht="11.25" customHeight="1">
      <c r="A779" s="50"/>
      <c r="B779" s="50"/>
      <c r="C779" s="50"/>
      <c r="D779" s="50"/>
      <c r="E779" s="50"/>
      <c r="F779" s="50"/>
      <c r="G779" s="13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 spans="1:26" ht="11.25" customHeight="1">
      <c r="A780" s="50"/>
      <c r="B780" s="50"/>
      <c r="C780" s="50"/>
      <c r="D780" s="50"/>
      <c r="E780" s="50"/>
      <c r="F780" s="50"/>
      <c r="G780" s="13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 spans="1:26" ht="11.25" customHeight="1">
      <c r="A781" s="50"/>
      <c r="B781" s="50"/>
      <c r="C781" s="50"/>
      <c r="D781" s="50"/>
      <c r="E781" s="50"/>
      <c r="F781" s="50"/>
      <c r="G781" s="13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 spans="1:26" ht="11.25" customHeight="1">
      <c r="A782" s="50"/>
      <c r="B782" s="50"/>
      <c r="C782" s="50"/>
      <c r="D782" s="50"/>
      <c r="E782" s="50"/>
      <c r="F782" s="50"/>
      <c r="G782" s="13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 spans="1:26" ht="11.25" customHeight="1">
      <c r="A783" s="50"/>
      <c r="B783" s="50"/>
      <c r="C783" s="50"/>
      <c r="D783" s="50"/>
      <c r="E783" s="50"/>
      <c r="F783" s="50"/>
      <c r="G783" s="13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 spans="1:26" ht="11.25" customHeight="1">
      <c r="A784" s="50"/>
      <c r="B784" s="50"/>
      <c r="C784" s="50"/>
      <c r="D784" s="50"/>
      <c r="E784" s="50"/>
      <c r="F784" s="50"/>
      <c r="G784" s="13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 spans="1:26" ht="11.25" customHeight="1">
      <c r="A785" s="50"/>
      <c r="B785" s="50"/>
      <c r="C785" s="50"/>
      <c r="D785" s="50"/>
      <c r="E785" s="50"/>
      <c r="F785" s="50"/>
      <c r="G785" s="13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 spans="1:26" ht="11.25" customHeight="1">
      <c r="A786" s="50"/>
      <c r="B786" s="50"/>
      <c r="C786" s="50"/>
      <c r="D786" s="50"/>
      <c r="E786" s="50"/>
      <c r="F786" s="50"/>
      <c r="G786" s="13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 spans="1:26" ht="11.25" customHeight="1">
      <c r="A787" s="50"/>
      <c r="B787" s="50"/>
      <c r="C787" s="50"/>
      <c r="D787" s="50"/>
      <c r="E787" s="50"/>
      <c r="F787" s="50"/>
      <c r="G787" s="13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 spans="1:26" ht="11.25" customHeight="1">
      <c r="A788" s="50"/>
      <c r="B788" s="50"/>
      <c r="C788" s="50"/>
      <c r="D788" s="50"/>
      <c r="E788" s="50"/>
      <c r="F788" s="50"/>
      <c r="G788" s="13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 spans="1:26" ht="11.25" customHeight="1">
      <c r="A789" s="50"/>
      <c r="B789" s="50"/>
      <c r="C789" s="50"/>
      <c r="D789" s="50"/>
      <c r="E789" s="50"/>
      <c r="F789" s="50"/>
      <c r="G789" s="13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 spans="1:26" ht="11.25" customHeight="1">
      <c r="A790" s="50"/>
      <c r="B790" s="50"/>
      <c r="C790" s="50"/>
      <c r="D790" s="50"/>
      <c r="E790" s="50"/>
      <c r="F790" s="50"/>
      <c r="G790" s="13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 spans="1:26" ht="11.25" customHeight="1">
      <c r="A791" s="50"/>
      <c r="B791" s="50"/>
      <c r="C791" s="50"/>
      <c r="D791" s="50"/>
      <c r="E791" s="50"/>
      <c r="F791" s="50"/>
      <c r="G791" s="13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 spans="1:26" ht="11.25" customHeight="1">
      <c r="A792" s="50"/>
      <c r="B792" s="50"/>
      <c r="C792" s="50"/>
      <c r="D792" s="50"/>
      <c r="E792" s="50"/>
      <c r="F792" s="50"/>
      <c r="G792" s="13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 spans="1:26" ht="11.25" customHeight="1">
      <c r="A793" s="50"/>
      <c r="B793" s="50"/>
      <c r="C793" s="50"/>
      <c r="D793" s="50"/>
      <c r="E793" s="50"/>
      <c r="F793" s="50"/>
      <c r="G793" s="13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 spans="1:26" ht="11.25" customHeight="1">
      <c r="A794" s="50"/>
      <c r="B794" s="50"/>
      <c r="C794" s="50"/>
      <c r="D794" s="50"/>
      <c r="E794" s="50"/>
      <c r="F794" s="50"/>
      <c r="G794" s="13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 spans="1:26" ht="11.25" customHeight="1">
      <c r="A795" s="50"/>
      <c r="B795" s="50"/>
      <c r="C795" s="50"/>
      <c r="D795" s="50"/>
      <c r="E795" s="50"/>
      <c r="F795" s="50"/>
      <c r="G795" s="13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 spans="1:26" ht="11.25" customHeight="1">
      <c r="A796" s="50"/>
      <c r="B796" s="50"/>
      <c r="C796" s="50"/>
      <c r="D796" s="50"/>
      <c r="E796" s="50"/>
      <c r="F796" s="50"/>
      <c r="G796" s="13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 spans="1:26" ht="11.25" customHeight="1">
      <c r="A797" s="50"/>
      <c r="B797" s="50"/>
      <c r="C797" s="50"/>
      <c r="D797" s="50"/>
      <c r="E797" s="50"/>
      <c r="F797" s="50"/>
      <c r="G797" s="13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 spans="1:26" ht="11.25" customHeight="1">
      <c r="A798" s="50"/>
      <c r="B798" s="50"/>
      <c r="C798" s="50"/>
      <c r="D798" s="50"/>
      <c r="E798" s="50"/>
      <c r="F798" s="50"/>
      <c r="G798" s="13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 spans="1:26" ht="11.25" customHeight="1">
      <c r="A799" s="50"/>
      <c r="B799" s="50"/>
      <c r="C799" s="50"/>
      <c r="D799" s="50"/>
      <c r="E799" s="50"/>
      <c r="F799" s="50"/>
      <c r="G799" s="13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 spans="1:26" ht="11.25" customHeight="1">
      <c r="A800" s="50"/>
      <c r="B800" s="50"/>
      <c r="C800" s="50"/>
      <c r="D800" s="50"/>
      <c r="E800" s="50"/>
      <c r="F800" s="50"/>
      <c r="G800" s="13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 spans="1:26" ht="11.25" customHeight="1">
      <c r="A801" s="50"/>
      <c r="B801" s="50"/>
      <c r="C801" s="50"/>
      <c r="D801" s="50"/>
      <c r="E801" s="50"/>
      <c r="F801" s="50"/>
      <c r="G801" s="13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 spans="1:26" ht="11.25" customHeight="1">
      <c r="A802" s="50"/>
      <c r="B802" s="50"/>
      <c r="C802" s="50"/>
      <c r="D802" s="50"/>
      <c r="E802" s="50"/>
      <c r="F802" s="50"/>
      <c r="G802" s="13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 spans="1:26" ht="11.25" customHeight="1">
      <c r="A803" s="50"/>
      <c r="B803" s="50"/>
      <c r="C803" s="50"/>
      <c r="D803" s="50"/>
      <c r="E803" s="50"/>
      <c r="F803" s="50"/>
      <c r="G803" s="13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 spans="1:26" ht="11.25" customHeight="1">
      <c r="A804" s="50"/>
      <c r="B804" s="50"/>
      <c r="C804" s="50"/>
      <c r="D804" s="50"/>
      <c r="E804" s="50"/>
      <c r="F804" s="50"/>
      <c r="G804" s="13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 spans="1:26" ht="11.25" customHeight="1">
      <c r="A805" s="50"/>
      <c r="B805" s="50"/>
      <c r="C805" s="50"/>
      <c r="D805" s="50"/>
      <c r="E805" s="50"/>
      <c r="F805" s="50"/>
      <c r="G805" s="13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 spans="1:26" ht="11.25" customHeight="1">
      <c r="A806" s="50"/>
      <c r="B806" s="50"/>
      <c r="C806" s="50"/>
      <c r="D806" s="50"/>
      <c r="E806" s="50"/>
      <c r="F806" s="50"/>
      <c r="G806" s="13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 spans="1:26" ht="11.25" customHeight="1">
      <c r="A807" s="50"/>
      <c r="B807" s="50"/>
      <c r="C807" s="50"/>
      <c r="D807" s="50"/>
      <c r="E807" s="50"/>
      <c r="F807" s="50"/>
      <c r="G807" s="13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 spans="1:26" ht="11.25" customHeight="1">
      <c r="A808" s="50"/>
      <c r="B808" s="50"/>
      <c r="C808" s="50"/>
      <c r="D808" s="50"/>
      <c r="E808" s="50"/>
      <c r="F808" s="50"/>
      <c r="G808" s="13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 spans="1:26" ht="11.25" customHeight="1">
      <c r="A809" s="50"/>
      <c r="B809" s="50"/>
      <c r="C809" s="50"/>
      <c r="D809" s="50"/>
      <c r="E809" s="50"/>
      <c r="F809" s="50"/>
      <c r="G809" s="13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 spans="1:26" ht="11.25" customHeight="1">
      <c r="A810" s="50"/>
      <c r="B810" s="50"/>
      <c r="C810" s="50"/>
      <c r="D810" s="50"/>
      <c r="E810" s="50"/>
      <c r="F810" s="50"/>
      <c r="G810" s="13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 spans="1:26" ht="11.25" customHeight="1">
      <c r="A811" s="50"/>
      <c r="B811" s="50"/>
      <c r="C811" s="50"/>
      <c r="D811" s="50"/>
      <c r="E811" s="50"/>
      <c r="F811" s="50"/>
      <c r="G811" s="13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 spans="1:26" ht="11.25" customHeight="1">
      <c r="A812" s="50"/>
      <c r="B812" s="50"/>
      <c r="C812" s="50"/>
      <c r="D812" s="50"/>
      <c r="E812" s="50"/>
      <c r="F812" s="50"/>
      <c r="G812" s="13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 spans="1:26" ht="11.25" customHeight="1">
      <c r="A813" s="50"/>
      <c r="B813" s="50"/>
      <c r="C813" s="50"/>
      <c r="D813" s="50"/>
      <c r="E813" s="50"/>
      <c r="F813" s="50"/>
      <c r="G813" s="13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 spans="1:26" ht="11.25" customHeight="1">
      <c r="A814" s="50"/>
      <c r="B814" s="50"/>
      <c r="C814" s="50"/>
      <c r="D814" s="50"/>
      <c r="E814" s="50"/>
      <c r="F814" s="50"/>
      <c r="G814" s="13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 spans="1:26" ht="11.25" customHeight="1">
      <c r="A815" s="50"/>
      <c r="B815" s="50"/>
      <c r="C815" s="50"/>
      <c r="D815" s="50"/>
      <c r="E815" s="50"/>
      <c r="F815" s="50"/>
      <c r="G815" s="13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 spans="1:26" ht="11.25" customHeight="1">
      <c r="A816" s="50"/>
      <c r="B816" s="50"/>
      <c r="C816" s="50"/>
      <c r="D816" s="50"/>
      <c r="E816" s="50"/>
      <c r="F816" s="50"/>
      <c r="G816" s="13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 spans="1:26" ht="11.25" customHeight="1">
      <c r="A817" s="50"/>
      <c r="B817" s="50"/>
      <c r="C817" s="50"/>
      <c r="D817" s="50"/>
      <c r="E817" s="50"/>
      <c r="F817" s="50"/>
      <c r="G817" s="13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 spans="1:26" ht="11.25" customHeight="1">
      <c r="A818" s="50"/>
      <c r="B818" s="50"/>
      <c r="C818" s="50"/>
      <c r="D818" s="50"/>
      <c r="E818" s="50"/>
      <c r="F818" s="50"/>
      <c r="G818" s="13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 spans="1:26" ht="11.25" customHeight="1">
      <c r="A819" s="50"/>
      <c r="B819" s="50"/>
      <c r="C819" s="50"/>
      <c r="D819" s="50"/>
      <c r="E819" s="50"/>
      <c r="F819" s="50"/>
      <c r="G819" s="13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 spans="1:26" ht="11.25" customHeight="1">
      <c r="A820" s="50"/>
      <c r="B820" s="50"/>
      <c r="C820" s="50"/>
      <c r="D820" s="50"/>
      <c r="E820" s="50"/>
      <c r="F820" s="50"/>
      <c r="G820" s="13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 spans="1:26" ht="11.25" customHeight="1">
      <c r="A821" s="50"/>
      <c r="B821" s="50"/>
      <c r="C821" s="50"/>
      <c r="D821" s="50"/>
      <c r="E821" s="50"/>
      <c r="F821" s="50"/>
      <c r="G821" s="13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 spans="1:26" ht="11.25" customHeight="1">
      <c r="A822" s="50"/>
      <c r="B822" s="50"/>
      <c r="C822" s="50"/>
      <c r="D822" s="50"/>
      <c r="E822" s="50"/>
      <c r="F822" s="50"/>
      <c r="G822" s="13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 spans="1:26" ht="11.25" customHeight="1">
      <c r="A823" s="50"/>
      <c r="B823" s="50"/>
      <c r="C823" s="50"/>
      <c r="D823" s="50"/>
      <c r="E823" s="50"/>
      <c r="F823" s="50"/>
      <c r="G823" s="13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 spans="1:26" ht="11.25" customHeight="1">
      <c r="A824" s="50"/>
      <c r="B824" s="50"/>
      <c r="C824" s="50"/>
      <c r="D824" s="50"/>
      <c r="E824" s="50"/>
      <c r="F824" s="50"/>
      <c r="G824" s="13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 spans="1:26" ht="11.25" customHeight="1">
      <c r="A825" s="50"/>
      <c r="B825" s="50"/>
      <c r="C825" s="50"/>
      <c r="D825" s="50"/>
      <c r="E825" s="50"/>
      <c r="F825" s="50"/>
      <c r="G825" s="13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 spans="1:26" ht="11.25" customHeight="1">
      <c r="A826" s="50"/>
      <c r="B826" s="50"/>
      <c r="C826" s="50"/>
      <c r="D826" s="50"/>
      <c r="E826" s="50"/>
      <c r="F826" s="50"/>
      <c r="G826" s="13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 spans="1:26" ht="11.25" customHeight="1">
      <c r="A827" s="50"/>
      <c r="B827" s="50"/>
      <c r="C827" s="50"/>
      <c r="D827" s="50"/>
      <c r="E827" s="50"/>
      <c r="F827" s="50"/>
      <c r="G827" s="13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 spans="1:26" ht="11.25" customHeight="1">
      <c r="A828" s="50"/>
      <c r="B828" s="50"/>
      <c r="C828" s="50"/>
      <c r="D828" s="50"/>
      <c r="E828" s="50"/>
      <c r="F828" s="50"/>
      <c r="G828" s="13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 spans="1:26" ht="11.25" customHeight="1">
      <c r="A829" s="50"/>
      <c r="B829" s="50"/>
      <c r="C829" s="50"/>
      <c r="D829" s="50"/>
      <c r="E829" s="50"/>
      <c r="F829" s="50"/>
      <c r="G829" s="13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 spans="1:26" ht="11.25" customHeight="1">
      <c r="A830" s="50"/>
      <c r="B830" s="50"/>
      <c r="C830" s="50"/>
      <c r="D830" s="50"/>
      <c r="E830" s="50"/>
      <c r="F830" s="50"/>
      <c r="G830" s="13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 spans="1:26" ht="11.25" customHeight="1">
      <c r="A831" s="50"/>
      <c r="B831" s="50"/>
      <c r="C831" s="50"/>
      <c r="D831" s="50"/>
      <c r="E831" s="50"/>
      <c r="F831" s="50"/>
      <c r="G831" s="13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 spans="1:26" ht="11.25" customHeight="1">
      <c r="A832" s="50"/>
      <c r="B832" s="50"/>
      <c r="C832" s="50"/>
      <c r="D832" s="50"/>
      <c r="E832" s="50"/>
      <c r="F832" s="50"/>
      <c r="G832" s="13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 spans="1:26" ht="11.25" customHeight="1">
      <c r="A833" s="50"/>
      <c r="B833" s="50"/>
      <c r="C833" s="50"/>
      <c r="D833" s="50"/>
      <c r="E833" s="50"/>
      <c r="F833" s="50"/>
      <c r="G833" s="13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 spans="1:26" ht="11.25" customHeight="1">
      <c r="A834" s="50"/>
      <c r="B834" s="50"/>
      <c r="C834" s="50"/>
      <c r="D834" s="50"/>
      <c r="E834" s="50"/>
      <c r="F834" s="50"/>
      <c r="G834" s="13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 spans="1:26" ht="11.25" customHeight="1">
      <c r="A835" s="50"/>
      <c r="B835" s="50"/>
      <c r="C835" s="50"/>
      <c r="D835" s="50"/>
      <c r="E835" s="50"/>
      <c r="F835" s="50"/>
      <c r="G835" s="13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 spans="1:26" ht="11.25" customHeight="1">
      <c r="A836" s="50"/>
      <c r="B836" s="50"/>
      <c r="C836" s="50"/>
      <c r="D836" s="50"/>
      <c r="E836" s="50"/>
      <c r="F836" s="50"/>
      <c r="G836" s="13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 spans="1:26" ht="11.25" customHeight="1">
      <c r="A837" s="50"/>
      <c r="B837" s="50"/>
      <c r="C837" s="50"/>
      <c r="D837" s="50"/>
      <c r="E837" s="50"/>
      <c r="F837" s="50"/>
      <c r="G837" s="13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 spans="1:26" ht="11.25" customHeight="1">
      <c r="A838" s="50"/>
      <c r="B838" s="50"/>
      <c r="C838" s="50"/>
      <c r="D838" s="50"/>
      <c r="E838" s="50"/>
      <c r="F838" s="50"/>
      <c r="G838" s="13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 spans="1:26" ht="11.25" customHeight="1">
      <c r="A839" s="50"/>
      <c r="B839" s="50"/>
      <c r="C839" s="50"/>
      <c r="D839" s="50"/>
      <c r="E839" s="50"/>
      <c r="F839" s="50"/>
      <c r="G839" s="13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 spans="1:26" ht="11.25" customHeight="1">
      <c r="A840" s="50"/>
      <c r="B840" s="50"/>
      <c r="C840" s="50"/>
      <c r="D840" s="50"/>
      <c r="E840" s="50"/>
      <c r="F840" s="50"/>
      <c r="G840" s="13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 spans="1:26" ht="11.25" customHeight="1">
      <c r="A841" s="50"/>
      <c r="B841" s="50"/>
      <c r="C841" s="50"/>
      <c r="D841" s="50"/>
      <c r="E841" s="50"/>
      <c r="F841" s="50"/>
      <c r="G841" s="13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 spans="1:26" ht="11.25" customHeight="1">
      <c r="A842" s="50"/>
      <c r="B842" s="50"/>
      <c r="C842" s="50"/>
      <c r="D842" s="50"/>
      <c r="E842" s="50"/>
      <c r="F842" s="50"/>
      <c r="G842" s="13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 spans="1:26" ht="11.25" customHeight="1">
      <c r="A843" s="50"/>
      <c r="B843" s="50"/>
      <c r="C843" s="50"/>
      <c r="D843" s="50"/>
      <c r="E843" s="50"/>
      <c r="F843" s="50"/>
      <c r="G843" s="13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 spans="1:26" ht="11.25" customHeight="1">
      <c r="A844" s="50"/>
      <c r="B844" s="50"/>
      <c r="C844" s="50"/>
      <c r="D844" s="50"/>
      <c r="E844" s="50"/>
      <c r="F844" s="50"/>
      <c r="G844" s="13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 spans="1:26" ht="11.25" customHeight="1">
      <c r="A845" s="50"/>
      <c r="B845" s="50"/>
      <c r="C845" s="50"/>
      <c r="D845" s="50"/>
      <c r="E845" s="50"/>
      <c r="F845" s="50"/>
      <c r="G845" s="13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 spans="1:26" ht="11.25" customHeight="1">
      <c r="A846" s="50"/>
      <c r="B846" s="50"/>
      <c r="C846" s="50"/>
      <c r="D846" s="50"/>
      <c r="E846" s="50"/>
      <c r="F846" s="50"/>
      <c r="G846" s="13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 spans="1:26" ht="11.25" customHeight="1">
      <c r="A847" s="50"/>
      <c r="B847" s="50"/>
      <c r="C847" s="50"/>
      <c r="D847" s="50"/>
      <c r="E847" s="50"/>
      <c r="F847" s="50"/>
      <c r="G847" s="13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 spans="1:26" ht="11.25" customHeight="1">
      <c r="A848" s="50"/>
      <c r="B848" s="50"/>
      <c r="C848" s="50"/>
      <c r="D848" s="50"/>
      <c r="E848" s="50"/>
      <c r="F848" s="50"/>
      <c r="G848" s="13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 spans="1:26" ht="11.25" customHeight="1">
      <c r="A849" s="50"/>
      <c r="B849" s="50"/>
      <c r="C849" s="50"/>
      <c r="D849" s="50"/>
      <c r="E849" s="50"/>
      <c r="F849" s="50"/>
      <c r="G849" s="13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 spans="1:26" ht="11.25" customHeight="1">
      <c r="A850" s="50"/>
      <c r="B850" s="50"/>
      <c r="C850" s="50"/>
      <c r="D850" s="50"/>
      <c r="E850" s="50"/>
      <c r="F850" s="50"/>
      <c r="G850" s="13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 spans="1:26" ht="11.25" customHeight="1">
      <c r="A851" s="50"/>
      <c r="B851" s="50"/>
      <c r="C851" s="50"/>
      <c r="D851" s="50"/>
      <c r="E851" s="50"/>
      <c r="F851" s="50"/>
      <c r="G851" s="13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 spans="1:26" ht="11.25" customHeight="1">
      <c r="A852" s="50"/>
      <c r="B852" s="50"/>
      <c r="C852" s="50"/>
      <c r="D852" s="50"/>
      <c r="E852" s="50"/>
      <c r="F852" s="50"/>
      <c r="G852" s="13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 spans="1:26" ht="11.25" customHeight="1">
      <c r="A853" s="50"/>
      <c r="B853" s="50"/>
      <c r="C853" s="50"/>
      <c r="D853" s="50"/>
      <c r="E853" s="50"/>
      <c r="F853" s="50"/>
      <c r="G853" s="13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 spans="1:26" ht="11.25" customHeight="1">
      <c r="A854" s="50"/>
      <c r="B854" s="50"/>
      <c r="C854" s="50"/>
      <c r="D854" s="50"/>
      <c r="E854" s="50"/>
      <c r="F854" s="50"/>
      <c r="G854" s="13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 spans="1:26" ht="11.25" customHeight="1">
      <c r="A855" s="50"/>
      <c r="B855" s="50"/>
      <c r="C855" s="50"/>
      <c r="D855" s="50"/>
      <c r="E855" s="50"/>
      <c r="F855" s="50"/>
      <c r="G855" s="13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 spans="1:26" ht="11.25" customHeight="1">
      <c r="A856" s="50"/>
      <c r="B856" s="50"/>
      <c r="C856" s="50"/>
      <c r="D856" s="50"/>
      <c r="E856" s="50"/>
      <c r="F856" s="50"/>
      <c r="G856" s="13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 spans="1:26" ht="11.25" customHeight="1">
      <c r="A857" s="50"/>
      <c r="B857" s="50"/>
      <c r="C857" s="50"/>
      <c r="D857" s="50"/>
      <c r="E857" s="50"/>
      <c r="F857" s="50"/>
      <c r="G857" s="13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 spans="1:26" ht="11.25" customHeight="1">
      <c r="A858" s="50"/>
      <c r="B858" s="50"/>
      <c r="C858" s="50"/>
      <c r="D858" s="50"/>
      <c r="E858" s="50"/>
      <c r="F858" s="50"/>
      <c r="G858" s="13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 spans="1:26" ht="11.25" customHeight="1">
      <c r="A859" s="50"/>
      <c r="B859" s="50"/>
      <c r="C859" s="50"/>
      <c r="D859" s="50"/>
      <c r="E859" s="50"/>
      <c r="F859" s="50"/>
      <c r="G859" s="13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 spans="1:26" ht="11.25" customHeight="1">
      <c r="A860" s="50"/>
      <c r="B860" s="50"/>
      <c r="C860" s="50"/>
      <c r="D860" s="50"/>
      <c r="E860" s="50"/>
      <c r="F860" s="50"/>
      <c r="G860" s="13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 spans="1:26" ht="11.25" customHeight="1">
      <c r="A861" s="50"/>
      <c r="B861" s="50"/>
      <c r="C861" s="50"/>
      <c r="D861" s="50"/>
      <c r="E861" s="50"/>
      <c r="F861" s="50"/>
      <c r="G861" s="13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 spans="1:26" ht="11.25" customHeight="1">
      <c r="A862" s="50"/>
      <c r="B862" s="50"/>
      <c r="C862" s="50"/>
      <c r="D862" s="50"/>
      <c r="E862" s="50"/>
      <c r="F862" s="50"/>
      <c r="G862" s="13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 spans="1:26" ht="11.25" customHeight="1">
      <c r="A863" s="50"/>
      <c r="B863" s="50"/>
      <c r="C863" s="50"/>
      <c r="D863" s="50"/>
      <c r="E863" s="50"/>
      <c r="F863" s="50"/>
      <c r="G863" s="13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 spans="1:26" ht="11.25" customHeight="1">
      <c r="A864" s="50"/>
      <c r="B864" s="50"/>
      <c r="C864" s="50"/>
      <c r="D864" s="50"/>
      <c r="E864" s="50"/>
      <c r="F864" s="50"/>
      <c r="G864" s="13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 spans="1:26" ht="11.25" customHeight="1">
      <c r="A865" s="50"/>
      <c r="B865" s="50"/>
      <c r="C865" s="50"/>
      <c r="D865" s="50"/>
      <c r="E865" s="50"/>
      <c r="F865" s="50"/>
      <c r="G865" s="13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 spans="1:26" ht="11.25" customHeight="1">
      <c r="A866" s="50"/>
      <c r="B866" s="50"/>
      <c r="C866" s="50"/>
      <c r="D866" s="50"/>
      <c r="E866" s="50"/>
      <c r="F866" s="50"/>
      <c r="G866" s="13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 spans="1:26" ht="11.25" customHeight="1">
      <c r="A867" s="50"/>
      <c r="B867" s="50"/>
      <c r="C867" s="50"/>
      <c r="D867" s="50"/>
      <c r="E867" s="50"/>
      <c r="F867" s="50"/>
      <c r="G867" s="13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 spans="1:26" ht="11.25" customHeight="1">
      <c r="A868" s="50"/>
      <c r="B868" s="50"/>
      <c r="C868" s="50"/>
      <c r="D868" s="50"/>
      <c r="E868" s="50"/>
      <c r="F868" s="50"/>
      <c r="G868" s="13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 spans="1:26" ht="11.25" customHeight="1">
      <c r="A869" s="50"/>
      <c r="B869" s="50"/>
      <c r="C869" s="50"/>
      <c r="D869" s="50"/>
      <c r="E869" s="50"/>
      <c r="F869" s="50"/>
      <c r="G869" s="13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 spans="1:26" ht="11.25" customHeight="1">
      <c r="A870" s="50"/>
      <c r="B870" s="50"/>
      <c r="C870" s="50"/>
      <c r="D870" s="50"/>
      <c r="E870" s="50"/>
      <c r="F870" s="50"/>
      <c r="G870" s="13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 spans="1:26" ht="11.25" customHeight="1">
      <c r="A871" s="50"/>
      <c r="B871" s="50"/>
      <c r="C871" s="50"/>
      <c r="D871" s="50"/>
      <c r="E871" s="50"/>
      <c r="F871" s="50"/>
      <c r="G871" s="13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 spans="1:26" ht="11.25" customHeight="1">
      <c r="A872" s="50"/>
      <c r="B872" s="50"/>
      <c r="C872" s="50"/>
      <c r="D872" s="50"/>
      <c r="E872" s="50"/>
      <c r="F872" s="50"/>
      <c r="G872" s="13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 spans="1:26" ht="11.25" customHeight="1">
      <c r="A873" s="50"/>
      <c r="B873" s="50"/>
      <c r="C873" s="50"/>
      <c r="D873" s="50"/>
      <c r="E873" s="50"/>
      <c r="F873" s="50"/>
      <c r="G873" s="13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 spans="1:26" ht="11.25" customHeight="1">
      <c r="A874" s="50"/>
      <c r="B874" s="50"/>
      <c r="C874" s="50"/>
      <c r="D874" s="50"/>
      <c r="E874" s="50"/>
      <c r="F874" s="50"/>
      <c r="G874" s="13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 spans="1:26" ht="11.25" customHeight="1">
      <c r="A875" s="50"/>
      <c r="B875" s="50"/>
      <c r="C875" s="50"/>
      <c r="D875" s="50"/>
      <c r="E875" s="50"/>
      <c r="F875" s="50"/>
      <c r="G875" s="13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 spans="1:26" ht="11.25" customHeight="1">
      <c r="A876" s="50"/>
      <c r="B876" s="50"/>
      <c r="C876" s="50"/>
      <c r="D876" s="50"/>
      <c r="E876" s="50"/>
      <c r="F876" s="50"/>
      <c r="G876" s="13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 spans="1:26" ht="11.25" customHeight="1">
      <c r="A877" s="50"/>
      <c r="B877" s="50"/>
      <c r="C877" s="50"/>
      <c r="D877" s="50"/>
      <c r="E877" s="50"/>
      <c r="F877" s="50"/>
      <c r="G877" s="13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 spans="1:26" ht="11.25" customHeight="1">
      <c r="A878" s="50"/>
      <c r="B878" s="50"/>
      <c r="C878" s="50"/>
      <c r="D878" s="50"/>
      <c r="E878" s="50"/>
      <c r="F878" s="50"/>
      <c r="G878" s="13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 spans="1:26" ht="11.25" customHeight="1">
      <c r="A879" s="50"/>
      <c r="B879" s="50"/>
      <c r="C879" s="50"/>
      <c r="D879" s="50"/>
      <c r="E879" s="50"/>
      <c r="F879" s="50"/>
      <c r="G879" s="13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 spans="1:26" ht="11.25" customHeight="1">
      <c r="A880" s="50"/>
      <c r="B880" s="50"/>
      <c r="C880" s="50"/>
      <c r="D880" s="50"/>
      <c r="E880" s="50"/>
      <c r="F880" s="50"/>
      <c r="G880" s="13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 spans="1:26" ht="11.25" customHeight="1">
      <c r="A881" s="50"/>
      <c r="B881" s="50"/>
      <c r="C881" s="50"/>
      <c r="D881" s="50"/>
      <c r="E881" s="50"/>
      <c r="F881" s="50"/>
      <c r="G881" s="13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 spans="1:26" ht="11.25" customHeight="1">
      <c r="A882" s="50"/>
      <c r="B882" s="50"/>
      <c r="C882" s="50"/>
      <c r="D882" s="50"/>
      <c r="E882" s="50"/>
      <c r="F882" s="50"/>
      <c r="G882" s="13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 spans="1:26" ht="11.25" customHeight="1">
      <c r="A883" s="50"/>
      <c r="B883" s="50"/>
      <c r="C883" s="50"/>
      <c r="D883" s="50"/>
      <c r="E883" s="50"/>
      <c r="F883" s="50"/>
      <c r="G883" s="13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 spans="1:26" ht="11.25" customHeight="1">
      <c r="A884" s="50"/>
      <c r="B884" s="50"/>
      <c r="C884" s="50"/>
      <c r="D884" s="50"/>
      <c r="E884" s="50"/>
      <c r="F884" s="50"/>
      <c r="G884" s="13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 spans="1:26" ht="11.25" customHeight="1">
      <c r="A885" s="50"/>
      <c r="B885" s="50"/>
      <c r="C885" s="50"/>
      <c r="D885" s="50"/>
      <c r="E885" s="50"/>
      <c r="F885" s="50"/>
      <c r="G885" s="13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 spans="1:26" ht="11.25" customHeight="1">
      <c r="A886" s="50"/>
      <c r="B886" s="50"/>
      <c r="C886" s="50"/>
      <c r="D886" s="50"/>
      <c r="E886" s="50"/>
      <c r="F886" s="50"/>
      <c r="G886" s="13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 spans="1:26" ht="11.25" customHeight="1">
      <c r="A887" s="50"/>
      <c r="B887" s="50"/>
      <c r="C887" s="50"/>
      <c r="D887" s="50"/>
      <c r="E887" s="50"/>
      <c r="F887" s="50"/>
      <c r="G887" s="13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 spans="1:26" ht="11.25" customHeight="1">
      <c r="A888" s="50"/>
      <c r="B888" s="50"/>
      <c r="C888" s="50"/>
      <c r="D888" s="50"/>
      <c r="E888" s="50"/>
      <c r="F888" s="50"/>
      <c r="G888" s="13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 spans="1:26" ht="11.25" customHeight="1">
      <c r="A889" s="50"/>
      <c r="B889" s="50"/>
      <c r="C889" s="50"/>
      <c r="D889" s="50"/>
      <c r="E889" s="50"/>
      <c r="F889" s="50"/>
      <c r="G889" s="13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 spans="1:26" ht="11.25" customHeight="1">
      <c r="A890" s="50"/>
      <c r="B890" s="50"/>
      <c r="C890" s="50"/>
      <c r="D890" s="50"/>
      <c r="E890" s="50"/>
      <c r="F890" s="50"/>
      <c r="G890" s="13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 spans="1:26" ht="11.25" customHeight="1">
      <c r="A891" s="50"/>
      <c r="B891" s="50"/>
      <c r="C891" s="50"/>
      <c r="D891" s="50"/>
      <c r="E891" s="50"/>
      <c r="F891" s="50"/>
      <c r="G891" s="13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 spans="1:26" ht="11.25" customHeight="1">
      <c r="A892" s="50"/>
      <c r="B892" s="50"/>
      <c r="C892" s="50"/>
      <c r="D892" s="50"/>
      <c r="E892" s="50"/>
      <c r="F892" s="50"/>
      <c r="G892" s="13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 spans="1:26" ht="11.25" customHeight="1">
      <c r="A893" s="50"/>
      <c r="B893" s="50"/>
      <c r="C893" s="50"/>
      <c r="D893" s="50"/>
      <c r="E893" s="50"/>
      <c r="F893" s="50"/>
      <c r="G893" s="13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 spans="1:26" ht="11.25" customHeight="1">
      <c r="A894" s="50"/>
      <c r="B894" s="50"/>
      <c r="C894" s="50"/>
      <c r="D894" s="50"/>
      <c r="E894" s="50"/>
      <c r="F894" s="50"/>
      <c r="G894" s="13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 spans="1:26" ht="11.25" customHeight="1">
      <c r="A895" s="50"/>
      <c r="B895" s="50"/>
      <c r="C895" s="50"/>
      <c r="D895" s="50"/>
      <c r="E895" s="50"/>
      <c r="F895" s="50"/>
      <c r="G895" s="13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 spans="1:26" ht="11.25" customHeight="1">
      <c r="A896" s="50"/>
      <c r="B896" s="50"/>
      <c r="C896" s="50"/>
      <c r="D896" s="50"/>
      <c r="E896" s="50"/>
      <c r="F896" s="50"/>
      <c r="G896" s="13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 spans="1:26" ht="11.25" customHeight="1">
      <c r="A897" s="50"/>
      <c r="B897" s="50"/>
      <c r="C897" s="50"/>
      <c r="D897" s="50"/>
      <c r="E897" s="50"/>
      <c r="F897" s="50"/>
      <c r="G897" s="13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 spans="1:26" ht="11.25" customHeight="1">
      <c r="A898" s="50"/>
      <c r="B898" s="50"/>
      <c r="C898" s="50"/>
      <c r="D898" s="50"/>
      <c r="E898" s="50"/>
      <c r="F898" s="50"/>
      <c r="G898" s="13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 spans="1:26" ht="11.25" customHeight="1">
      <c r="A899" s="50"/>
      <c r="B899" s="50"/>
      <c r="C899" s="50"/>
      <c r="D899" s="50"/>
      <c r="E899" s="50"/>
      <c r="F899" s="50"/>
      <c r="G899" s="13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 spans="1:26" ht="11.25" customHeight="1">
      <c r="A900" s="50"/>
      <c r="B900" s="50"/>
      <c r="C900" s="50"/>
      <c r="D900" s="50"/>
      <c r="E900" s="50"/>
      <c r="F900" s="50"/>
      <c r="G900" s="13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 spans="1:26" ht="11.25" customHeight="1">
      <c r="A901" s="50"/>
      <c r="B901" s="50"/>
      <c r="C901" s="50"/>
      <c r="D901" s="50"/>
      <c r="E901" s="50"/>
      <c r="F901" s="50"/>
      <c r="G901" s="13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 spans="1:26" ht="11.25" customHeight="1">
      <c r="A902" s="50"/>
      <c r="B902" s="50"/>
      <c r="C902" s="50"/>
      <c r="D902" s="50"/>
      <c r="E902" s="50"/>
      <c r="F902" s="50"/>
      <c r="G902" s="13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 spans="1:26" ht="11.25" customHeight="1">
      <c r="A903" s="50"/>
      <c r="B903" s="50"/>
      <c r="C903" s="50"/>
      <c r="D903" s="50"/>
      <c r="E903" s="50"/>
      <c r="F903" s="50"/>
      <c r="G903" s="13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 spans="1:26" ht="11.25" customHeight="1">
      <c r="A904" s="50"/>
      <c r="B904" s="50"/>
      <c r="C904" s="50"/>
      <c r="D904" s="50"/>
      <c r="E904" s="50"/>
      <c r="F904" s="50"/>
      <c r="G904" s="13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 spans="1:26" ht="11.25" customHeight="1">
      <c r="A905" s="50"/>
      <c r="B905" s="50"/>
      <c r="C905" s="50"/>
      <c r="D905" s="50"/>
      <c r="E905" s="50"/>
      <c r="F905" s="50"/>
      <c r="G905" s="13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 spans="1:26" ht="11.25" customHeight="1">
      <c r="A906" s="50"/>
      <c r="B906" s="50"/>
      <c r="C906" s="50"/>
      <c r="D906" s="50"/>
      <c r="E906" s="50"/>
      <c r="F906" s="50"/>
      <c r="G906" s="13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 spans="1:26" ht="11.25" customHeight="1">
      <c r="A907" s="50"/>
      <c r="B907" s="50"/>
      <c r="C907" s="50"/>
      <c r="D907" s="50"/>
      <c r="E907" s="50"/>
      <c r="F907" s="50"/>
      <c r="G907" s="13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 spans="1:26" ht="11.25" customHeight="1">
      <c r="A908" s="50"/>
      <c r="B908" s="50"/>
      <c r="C908" s="50"/>
      <c r="D908" s="50"/>
      <c r="E908" s="50"/>
      <c r="F908" s="50"/>
      <c r="G908" s="13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 spans="1:26" ht="11.25" customHeight="1">
      <c r="A909" s="50"/>
      <c r="B909" s="50"/>
      <c r="C909" s="50"/>
      <c r="D909" s="50"/>
      <c r="E909" s="50"/>
      <c r="F909" s="50"/>
      <c r="G909" s="13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 spans="1:26" ht="11.25" customHeight="1">
      <c r="A910" s="50"/>
      <c r="B910" s="50"/>
      <c r="C910" s="50"/>
      <c r="D910" s="50"/>
      <c r="E910" s="50"/>
      <c r="F910" s="50"/>
      <c r="G910" s="13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 spans="1:26" ht="11.25" customHeight="1">
      <c r="A911" s="50"/>
      <c r="B911" s="50"/>
      <c r="C911" s="50"/>
      <c r="D911" s="50"/>
      <c r="E911" s="50"/>
      <c r="F911" s="50"/>
      <c r="G911" s="13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 spans="1:26" ht="11.25" customHeight="1">
      <c r="A912" s="50"/>
      <c r="B912" s="50"/>
      <c r="C912" s="50"/>
      <c r="D912" s="50"/>
      <c r="E912" s="50"/>
      <c r="F912" s="50"/>
      <c r="G912" s="13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 spans="1:26" ht="11.25" customHeight="1">
      <c r="A913" s="50"/>
      <c r="B913" s="50"/>
      <c r="C913" s="50"/>
      <c r="D913" s="50"/>
      <c r="E913" s="50"/>
      <c r="F913" s="50"/>
      <c r="G913" s="13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 spans="1:26" ht="11.25" customHeight="1">
      <c r="A914" s="50"/>
      <c r="B914" s="50"/>
      <c r="C914" s="50"/>
      <c r="D914" s="50"/>
      <c r="E914" s="50"/>
      <c r="F914" s="50"/>
      <c r="G914" s="13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 spans="1:26" ht="11.25" customHeight="1">
      <c r="A915" s="50"/>
      <c r="B915" s="50"/>
      <c r="C915" s="50"/>
      <c r="D915" s="50"/>
      <c r="E915" s="50"/>
      <c r="F915" s="50"/>
      <c r="G915" s="13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 spans="1:26" ht="11.25" customHeight="1">
      <c r="A916" s="50"/>
      <c r="B916" s="50"/>
      <c r="C916" s="50"/>
      <c r="D916" s="50"/>
      <c r="E916" s="50"/>
      <c r="F916" s="50"/>
      <c r="G916" s="13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 spans="1:26" ht="11.25" customHeight="1">
      <c r="A917" s="50"/>
      <c r="B917" s="50"/>
      <c r="C917" s="50"/>
      <c r="D917" s="50"/>
      <c r="E917" s="50"/>
      <c r="F917" s="50"/>
      <c r="G917" s="13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 spans="1:26" ht="11.25" customHeight="1">
      <c r="A918" s="50"/>
      <c r="B918" s="50"/>
      <c r="C918" s="50"/>
      <c r="D918" s="50"/>
      <c r="E918" s="50"/>
      <c r="F918" s="50"/>
      <c r="G918" s="13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 spans="1:26" ht="11.25" customHeight="1">
      <c r="A919" s="50"/>
      <c r="B919" s="50"/>
      <c r="C919" s="50"/>
      <c r="D919" s="50"/>
      <c r="E919" s="50"/>
      <c r="F919" s="50"/>
      <c r="G919" s="13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 spans="1:26" ht="11.25" customHeight="1">
      <c r="A920" s="50"/>
      <c r="B920" s="50"/>
      <c r="C920" s="50"/>
      <c r="D920" s="50"/>
      <c r="E920" s="50"/>
      <c r="F920" s="50"/>
      <c r="G920" s="13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 spans="1:26" ht="11.25" customHeight="1">
      <c r="A921" s="50"/>
      <c r="B921" s="50"/>
      <c r="C921" s="50"/>
      <c r="D921" s="50"/>
      <c r="E921" s="50"/>
      <c r="F921" s="50"/>
      <c r="G921" s="13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 spans="1:26" ht="11.25" customHeight="1">
      <c r="A922" s="50"/>
      <c r="B922" s="50"/>
      <c r="C922" s="50"/>
      <c r="D922" s="50"/>
      <c r="E922" s="50"/>
      <c r="F922" s="50"/>
      <c r="G922" s="13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 spans="1:26" ht="11.25" customHeight="1">
      <c r="A923" s="50"/>
      <c r="B923" s="50"/>
      <c r="C923" s="50"/>
      <c r="D923" s="50"/>
      <c r="E923" s="50"/>
      <c r="F923" s="50"/>
      <c r="G923" s="13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 spans="1:26" ht="11.25" customHeight="1">
      <c r="A924" s="50"/>
      <c r="B924" s="50"/>
      <c r="C924" s="50"/>
      <c r="D924" s="50"/>
      <c r="E924" s="50"/>
      <c r="F924" s="50"/>
      <c r="G924" s="13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 spans="1:26" ht="11.25" customHeight="1">
      <c r="A925" s="50"/>
      <c r="B925" s="50"/>
      <c r="C925" s="50"/>
      <c r="D925" s="50"/>
      <c r="E925" s="50"/>
      <c r="F925" s="50"/>
      <c r="G925" s="13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 spans="1:26" ht="11.25" customHeight="1">
      <c r="A926" s="50"/>
      <c r="B926" s="50"/>
      <c r="C926" s="50"/>
      <c r="D926" s="50"/>
      <c r="E926" s="50"/>
      <c r="F926" s="50"/>
      <c r="G926" s="13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 spans="1:26" ht="11.25" customHeight="1">
      <c r="A927" s="50"/>
      <c r="B927" s="50"/>
      <c r="C927" s="50"/>
      <c r="D927" s="50"/>
      <c r="E927" s="50"/>
      <c r="F927" s="50"/>
      <c r="G927" s="13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 spans="1:26" ht="11.25" customHeight="1">
      <c r="A928" s="50"/>
      <c r="B928" s="50"/>
      <c r="C928" s="50"/>
      <c r="D928" s="50"/>
      <c r="E928" s="50"/>
      <c r="F928" s="50"/>
      <c r="G928" s="13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 spans="1:26" ht="11.25" customHeight="1">
      <c r="A929" s="50"/>
      <c r="B929" s="50"/>
      <c r="C929" s="50"/>
      <c r="D929" s="50"/>
      <c r="E929" s="50"/>
      <c r="F929" s="50"/>
      <c r="G929" s="13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 spans="1:26" ht="11.25" customHeight="1">
      <c r="A930" s="50"/>
      <c r="B930" s="50"/>
      <c r="C930" s="50"/>
      <c r="D930" s="50"/>
      <c r="E930" s="50"/>
      <c r="F930" s="50"/>
      <c r="G930" s="13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 spans="1:26" ht="11.25" customHeight="1">
      <c r="A931" s="50"/>
      <c r="B931" s="50"/>
      <c r="C931" s="50"/>
      <c r="D931" s="50"/>
      <c r="E931" s="50"/>
      <c r="F931" s="50"/>
      <c r="G931" s="13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 spans="1:26" ht="11.25" customHeight="1">
      <c r="A932" s="50"/>
      <c r="B932" s="50"/>
      <c r="C932" s="50"/>
      <c r="D932" s="50"/>
      <c r="E932" s="50"/>
      <c r="F932" s="50"/>
      <c r="G932" s="13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 spans="1:26" ht="11.25" customHeight="1">
      <c r="A933" s="50"/>
      <c r="B933" s="50"/>
      <c r="C933" s="50"/>
      <c r="D933" s="50"/>
      <c r="E933" s="50"/>
      <c r="F933" s="50"/>
      <c r="G933" s="13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 spans="1:26" ht="11.25" customHeight="1">
      <c r="A934" s="50"/>
      <c r="B934" s="50"/>
      <c r="C934" s="50"/>
      <c r="D934" s="50"/>
      <c r="E934" s="50"/>
      <c r="F934" s="50"/>
      <c r="G934" s="13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 spans="1:26" ht="11.25" customHeight="1">
      <c r="A935" s="50"/>
      <c r="B935" s="50"/>
      <c r="C935" s="50"/>
      <c r="D935" s="50"/>
      <c r="E935" s="50"/>
      <c r="F935" s="50"/>
      <c r="G935" s="13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 spans="1:26" ht="11.25" customHeight="1">
      <c r="A936" s="50"/>
      <c r="B936" s="50"/>
      <c r="C936" s="50"/>
      <c r="D936" s="50"/>
      <c r="E936" s="50"/>
      <c r="F936" s="50"/>
      <c r="G936" s="13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 spans="1:26" ht="11.25" customHeight="1">
      <c r="A937" s="50"/>
      <c r="B937" s="50"/>
      <c r="C937" s="50"/>
      <c r="D937" s="50"/>
      <c r="E937" s="50"/>
      <c r="F937" s="50"/>
      <c r="G937" s="13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 spans="1:26" ht="11.25" customHeight="1">
      <c r="A938" s="50"/>
      <c r="B938" s="50"/>
      <c r="C938" s="50"/>
      <c r="D938" s="50"/>
      <c r="E938" s="50"/>
      <c r="F938" s="50"/>
      <c r="G938" s="13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 spans="1:26" ht="11.25" customHeight="1">
      <c r="A939" s="50"/>
      <c r="B939" s="50"/>
      <c r="C939" s="50"/>
      <c r="D939" s="50"/>
      <c r="E939" s="50"/>
      <c r="F939" s="50"/>
      <c r="G939" s="13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 spans="1:26" ht="11.25" customHeight="1">
      <c r="A940" s="50"/>
      <c r="B940" s="50"/>
      <c r="C940" s="50"/>
      <c r="D940" s="50"/>
      <c r="E940" s="50"/>
      <c r="F940" s="50"/>
      <c r="G940" s="13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 spans="1:26" ht="11.25" customHeight="1">
      <c r="A941" s="50"/>
      <c r="B941" s="50"/>
      <c r="C941" s="50"/>
      <c r="D941" s="50"/>
      <c r="E941" s="50"/>
      <c r="F941" s="50"/>
      <c r="G941" s="13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 spans="1:26" ht="11.25" customHeight="1">
      <c r="A942" s="50"/>
      <c r="B942" s="50"/>
      <c r="C942" s="50"/>
      <c r="D942" s="50"/>
      <c r="E942" s="50"/>
      <c r="F942" s="50"/>
      <c r="G942" s="13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 spans="1:26" ht="11.25" customHeight="1">
      <c r="A943" s="50"/>
      <c r="B943" s="50"/>
      <c r="C943" s="50"/>
      <c r="D943" s="50"/>
      <c r="E943" s="50"/>
      <c r="F943" s="50"/>
      <c r="G943" s="13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 spans="1:26" ht="11.25" customHeight="1">
      <c r="A944" s="50"/>
      <c r="B944" s="50"/>
      <c r="C944" s="50"/>
      <c r="D944" s="50"/>
      <c r="E944" s="50"/>
      <c r="F944" s="50"/>
      <c r="G944" s="13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 spans="1:26" ht="11.25" customHeight="1">
      <c r="A945" s="50"/>
      <c r="B945" s="50"/>
      <c r="C945" s="50"/>
      <c r="D945" s="50"/>
      <c r="E945" s="50"/>
      <c r="F945" s="50"/>
      <c r="G945" s="13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 spans="1:26" ht="11.25" customHeight="1">
      <c r="A946" s="50"/>
      <c r="B946" s="50"/>
      <c r="C946" s="50"/>
      <c r="D946" s="50"/>
      <c r="E946" s="50"/>
      <c r="F946" s="50"/>
      <c r="G946" s="13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 spans="1:26" ht="11.25" customHeight="1">
      <c r="A947" s="50"/>
      <c r="B947" s="50"/>
      <c r="C947" s="50"/>
      <c r="D947" s="50"/>
      <c r="E947" s="50"/>
      <c r="F947" s="50"/>
      <c r="G947" s="13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 spans="1:26" ht="11.25" customHeight="1">
      <c r="A948" s="50"/>
      <c r="B948" s="50"/>
      <c r="C948" s="50"/>
      <c r="D948" s="50"/>
      <c r="E948" s="50"/>
      <c r="F948" s="50"/>
      <c r="G948" s="13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 spans="1:26" ht="11.25" customHeight="1">
      <c r="A949" s="50"/>
      <c r="B949" s="50"/>
      <c r="C949" s="50"/>
      <c r="D949" s="50"/>
      <c r="E949" s="50"/>
      <c r="F949" s="50"/>
      <c r="G949" s="13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 spans="1:26" ht="11.25" customHeight="1">
      <c r="A950" s="50"/>
      <c r="B950" s="50"/>
      <c r="C950" s="50"/>
      <c r="D950" s="50"/>
      <c r="E950" s="50"/>
      <c r="F950" s="50"/>
      <c r="G950" s="13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 spans="1:26" ht="11.25" customHeight="1">
      <c r="A951" s="50"/>
      <c r="B951" s="50"/>
      <c r="C951" s="50"/>
      <c r="D951" s="50"/>
      <c r="E951" s="50"/>
      <c r="F951" s="50"/>
      <c r="G951" s="13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 spans="1:26" ht="11.25" customHeight="1">
      <c r="A952" s="50"/>
      <c r="B952" s="50"/>
      <c r="C952" s="50"/>
      <c r="D952" s="50"/>
      <c r="E952" s="50"/>
      <c r="F952" s="50"/>
      <c r="G952" s="13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 spans="1:26" ht="11.25" customHeight="1">
      <c r="A953" s="50"/>
      <c r="B953" s="50"/>
      <c r="C953" s="50"/>
      <c r="D953" s="50"/>
      <c r="E953" s="50"/>
      <c r="F953" s="50"/>
      <c r="G953" s="13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 spans="1:26" ht="11.25" customHeight="1">
      <c r="A954" s="50"/>
      <c r="B954" s="50"/>
      <c r="C954" s="50"/>
      <c r="D954" s="50"/>
      <c r="E954" s="50"/>
      <c r="F954" s="50"/>
      <c r="G954" s="13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 spans="1:26" ht="11.25" customHeight="1">
      <c r="A955" s="50"/>
      <c r="B955" s="50"/>
      <c r="C955" s="50"/>
      <c r="D955" s="50"/>
      <c r="E955" s="50"/>
      <c r="F955" s="50"/>
      <c r="G955" s="13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 spans="1:26" ht="11.25" customHeight="1">
      <c r="A956" s="50"/>
      <c r="B956" s="50"/>
      <c r="C956" s="50"/>
      <c r="D956" s="50"/>
      <c r="E956" s="50"/>
      <c r="F956" s="50"/>
      <c r="G956" s="13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 spans="1:26" ht="11.25" customHeight="1">
      <c r="A957" s="50"/>
      <c r="B957" s="50"/>
      <c r="C957" s="50"/>
      <c r="D957" s="50"/>
      <c r="E957" s="50"/>
      <c r="F957" s="50"/>
      <c r="G957" s="13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 spans="1:26" ht="11.25" customHeight="1">
      <c r="A958" s="50"/>
      <c r="B958" s="50"/>
      <c r="C958" s="50"/>
      <c r="D958" s="50"/>
      <c r="E958" s="50"/>
      <c r="F958" s="50"/>
      <c r="G958" s="13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 spans="1:26" ht="11.25" customHeight="1">
      <c r="A959" s="50"/>
      <c r="B959" s="50"/>
      <c r="C959" s="50"/>
      <c r="D959" s="50"/>
      <c r="E959" s="50"/>
      <c r="F959" s="50"/>
      <c r="G959" s="13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 spans="1:26" ht="11.25" customHeight="1">
      <c r="A960" s="50"/>
      <c r="B960" s="50"/>
      <c r="C960" s="50"/>
      <c r="D960" s="50"/>
      <c r="E960" s="50"/>
      <c r="F960" s="50"/>
      <c r="G960" s="13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 spans="1:26" ht="11.25" customHeight="1">
      <c r="A961" s="50"/>
      <c r="B961" s="50"/>
      <c r="C961" s="50"/>
      <c r="D961" s="50"/>
      <c r="E961" s="50"/>
      <c r="F961" s="50"/>
      <c r="G961" s="13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 spans="1:26" ht="11.25" customHeight="1">
      <c r="A962" s="50"/>
      <c r="B962" s="50"/>
      <c r="C962" s="50"/>
      <c r="D962" s="50"/>
      <c r="E962" s="50"/>
      <c r="F962" s="50"/>
      <c r="G962" s="13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 spans="1:26" ht="11.25" customHeight="1">
      <c r="A963" s="50"/>
      <c r="B963" s="50"/>
      <c r="C963" s="50"/>
      <c r="D963" s="50"/>
      <c r="E963" s="50"/>
      <c r="F963" s="50"/>
      <c r="G963" s="13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 spans="1:26" ht="11.25" customHeight="1">
      <c r="A964" s="50"/>
      <c r="B964" s="50"/>
      <c r="C964" s="50"/>
      <c r="D964" s="50"/>
      <c r="E964" s="50"/>
      <c r="F964" s="50"/>
      <c r="G964" s="13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 spans="1:26" ht="11.25" customHeight="1">
      <c r="A965" s="50"/>
      <c r="B965" s="50"/>
      <c r="C965" s="50"/>
      <c r="D965" s="50"/>
      <c r="E965" s="50"/>
      <c r="F965" s="50"/>
      <c r="G965" s="13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 spans="1:26" ht="11.25" customHeight="1">
      <c r="A966" s="50"/>
      <c r="B966" s="50"/>
      <c r="C966" s="50"/>
      <c r="D966" s="50"/>
      <c r="E966" s="50"/>
      <c r="F966" s="50"/>
      <c r="G966" s="13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 spans="1:26" ht="11.25" customHeight="1">
      <c r="A967" s="50"/>
      <c r="B967" s="50"/>
      <c r="C967" s="50"/>
      <c r="D967" s="50"/>
      <c r="E967" s="50"/>
      <c r="F967" s="50"/>
      <c r="G967" s="13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 spans="1:26" ht="11.25" customHeight="1">
      <c r="A968" s="50"/>
      <c r="B968" s="50"/>
      <c r="C968" s="50"/>
      <c r="D968" s="50"/>
      <c r="E968" s="50"/>
      <c r="F968" s="50"/>
      <c r="G968" s="13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 spans="1:26" ht="11.25" customHeight="1">
      <c r="A969" s="50"/>
      <c r="B969" s="50"/>
      <c r="C969" s="50"/>
      <c r="D969" s="50"/>
      <c r="E969" s="50"/>
      <c r="F969" s="50"/>
      <c r="G969" s="13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 spans="1:26" ht="11.25" customHeight="1">
      <c r="A970" s="50"/>
      <c r="B970" s="50"/>
      <c r="C970" s="50"/>
      <c r="D970" s="50"/>
      <c r="E970" s="50"/>
      <c r="F970" s="50"/>
      <c r="G970" s="13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 spans="1:26" ht="11.25" customHeight="1">
      <c r="A971" s="50"/>
      <c r="B971" s="50"/>
      <c r="C971" s="50"/>
      <c r="D971" s="50"/>
      <c r="E971" s="50"/>
      <c r="F971" s="50"/>
      <c r="G971" s="13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 spans="1:26" ht="11.25" customHeight="1">
      <c r="A972" s="50"/>
      <c r="B972" s="50"/>
      <c r="C972" s="50"/>
      <c r="D972" s="50"/>
      <c r="E972" s="50"/>
      <c r="F972" s="50"/>
      <c r="G972" s="13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 spans="1:26" ht="11.25" customHeight="1">
      <c r="A973" s="50"/>
      <c r="B973" s="50"/>
      <c r="C973" s="50"/>
      <c r="D973" s="50"/>
      <c r="E973" s="50"/>
      <c r="F973" s="50"/>
      <c r="G973" s="13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 spans="1:26" ht="11.25" customHeight="1">
      <c r="A974" s="50"/>
      <c r="B974" s="50"/>
      <c r="C974" s="50"/>
      <c r="D974" s="50"/>
      <c r="E974" s="50"/>
      <c r="F974" s="50"/>
      <c r="G974" s="13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 spans="1:26" ht="11.25" customHeight="1">
      <c r="A975" s="50"/>
      <c r="B975" s="50"/>
      <c r="C975" s="50"/>
      <c r="D975" s="50"/>
      <c r="E975" s="50"/>
      <c r="F975" s="50"/>
      <c r="G975" s="13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 spans="1:26" ht="11.25" customHeight="1">
      <c r="A976" s="50"/>
      <c r="B976" s="50"/>
      <c r="C976" s="50"/>
      <c r="D976" s="50"/>
      <c r="E976" s="50"/>
      <c r="F976" s="50"/>
      <c r="G976" s="13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 spans="1:26" ht="11.25" customHeight="1">
      <c r="A977" s="50"/>
      <c r="B977" s="50"/>
      <c r="C977" s="50"/>
      <c r="D977" s="50"/>
      <c r="E977" s="50"/>
      <c r="F977" s="50"/>
      <c r="G977" s="13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 spans="1:26" ht="11.25" customHeight="1">
      <c r="A978" s="50"/>
      <c r="B978" s="50"/>
      <c r="C978" s="50"/>
      <c r="D978" s="50"/>
      <c r="E978" s="50"/>
      <c r="F978" s="50"/>
      <c r="G978" s="13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 spans="1:26" ht="11.25" customHeight="1">
      <c r="A979" s="50"/>
      <c r="B979" s="50"/>
      <c r="C979" s="50"/>
      <c r="D979" s="50"/>
      <c r="E979" s="50"/>
      <c r="F979" s="50"/>
      <c r="G979" s="13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 spans="1:26" ht="11.25" customHeight="1">
      <c r="A980" s="50"/>
      <c r="B980" s="50"/>
      <c r="C980" s="50"/>
      <c r="D980" s="50"/>
      <c r="E980" s="50"/>
      <c r="F980" s="50"/>
      <c r="G980" s="13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 spans="1:26" ht="11.25" customHeight="1">
      <c r="A981" s="50"/>
      <c r="B981" s="50"/>
      <c r="C981" s="50"/>
      <c r="D981" s="50"/>
      <c r="E981" s="50"/>
      <c r="F981" s="50"/>
      <c r="G981" s="13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 spans="1:26" ht="11.25" customHeight="1">
      <c r="A982" s="50"/>
      <c r="B982" s="50"/>
      <c r="C982" s="50"/>
      <c r="D982" s="50"/>
      <c r="E982" s="50"/>
      <c r="F982" s="50"/>
      <c r="G982" s="13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 spans="1:26" ht="11.25" customHeight="1">
      <c r="A983" s="50"/>
      <c r="B983" s="50"/>
      <c r="C983" s="50"/>
      <c r="D983" s="50"/>
      <c r="E983" s="50"/>
      <c r="F983" s="50"/>
      <c r="G983" s="13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 spans="1:26" ht="11.25" customHeight="1">
      <c r="A984" s="50"/>
      <c r="B984" s="50"/>
      <c r="C984" s="50"/>
      <c r="D984" s="50"/>
      <c r="E984" s="50"/>
      <c r="F984" s="50"/>
      <c r="G984" s="13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 spans="1:26" ht="11.25" customHeight="1">
      <c r="A985" s="50"/>
      <c r="B985" s="50"/>
      <c r="C985" s="50"/>
      <c r="D985" s="50"/>
      <c r="E985" s="50"/>
      <c r="F985" s="50"/>
      <c r="G985" s="13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 spans="1:26" ht="11.25" customHeight="1">
      <c r="A986" s="50"/>
      <c r="B986" s="50"/>
      <c r="C986" s="50"/>
      <c r="D986" s="50"/>
      <c r="E986" s="50"/>
      <c r="F986" s="50"/>
      <c r="G986" s="13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 spans="1:26" ht="11.25" customHeight="1">
      <c r="A987" s="50"/>
      <c r="B987" s="50"/>
      <c r="C987" s="50"/>
      <c r="D987" s="50"/>
      <c r="E987" s="50"/>
      <c r="F987" s="50"/>
      <c r="G987" s="13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 spans="1:26" ht="11.25" customHeight="1">
      <c r="A988" s="50"/>
      <c r="B988" s="50"/>
      <c r="C988" s="50"/>
      <c r="D988" s="50"/>
      <c r="E988" s="50"/>
      <c r="F988" s="50"/>
      <c r="G988" s="13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 spans="1:26" ht="11.25" customHeight="1">
      <c r="A989" s="50"/>
      <c r="B989" s="50"/>
      <c r="C989" s="50"/>
      <c r="D989" s="50"/>
      <c r="E989" s="50"/>
      <c r="F989" s="50"/>
      <c r="G989" s="13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 spans="1:26" ht="11.25" customHeight="1">
      <c r="A990" s="50"/>
      <c r="B990" s="50"/>
      <c r="C990" s="50"/>
      <c r="D990" s="50"/>
      <c r="E990" s="50"/>
      <c r="F990" s="50"/>
      <c r="G990" s="13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  <row r="991" spans="1:26" ht="11.25" customHeight="1">
      <c r="A991" s="50"/>
      <c r="B991" s="50"/>
      <c r="C991" s="50"/>
      <c r="D991" s="50"/>
      <c r="E991" s="50"/>
      <c r="F991" s="50"/>
      <c r="G991" s="13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</row>
    <row r="992" spans="1:26" ht="11.25" customHeight="1">
      <c r="A992" s="50"/>
      <c r="B992" s="50"/>
      <c r="C992" s="50"/>
      <c r="D992" s="50"/>
      <c r="E992" s="50"/>
      <c r="F992" s="50"/>
      <c r="G992" s="13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</row>
    <row r="993" spans="1:26" ht="11.25" customHeight="1">
      <c r="A993" s="50"/>
      <c r="B993" s="50"/>
      <c r="C993" s="50"/>
      <c r="D993" s="50"/>
      <c r="E993" s="50"/>
      <c r="F993" s="50"/>
      <c r="G993" s="13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</row>
    <row r="994" spans="1:26" ht="11.25" customHeight="1">
      <c r="A994" s="50"/>
      <c r="B994" s="50"/>
      <c r="C994" s="50"/>
      <c r="D994" s="50"/>
      <c r="E994" s="50"/>
      <c r="F994" s="50"/>
      <c r="G994" s="13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</row>
    <row r="995" spans="1:26" ht="11.25" customHeight="1">
      <c r="A995" s="50"/>
      <c r="B995" s="50"/>
      <c r="C995" s="50"/>
      <c r="D995" s="50"/>
      <c r="E995" s="50"/>
      <c r="F995" s="50"/>
      <c r="G995" s="13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</row>
    <row r="996" spans="1:26" ht="11.25" customHeight="1">
      <c r="A996" s="50"/>
      <c r="B996" s="50"/>
      <c r="C996" s="50"/>
      <c r="D996" s="50"/>
      <c r="E996" s="50"/>
      <c r="F996" s="50"/>
      <c r="G996" s="13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</row>
    <row r="997" spans="1:26" ht="11.25" customHeight="1">
      <c r="A997" s="50"/>
      <c r="B997" s="50"/>
      <c r="C997" s="50"/>
      <c r="D997" s="50"/>
      <c r="E997" s="50"/>
      <c r="F997" s="50"/>
      <c r="G997" s="13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</row>
    <row r="998" spans="1:26" ht="11.25" customHeight="1">
      <c r="A998" s="50"/>
      <c r="B998" s="50"/>
      <c r="C998" s="50"/>
      <c r="D998" s="50"/>
      <c r="E998" s="50"/>
      <c r="F998" s="50"/>
      <c r="G998" s="13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</row>
    <row r="999" spans="1:26" ht="11.25" customHeight="1">
      <c r="A999" s="50"/>
      <c r="B999" s="50"/>
      <c r="C999" s="50"/>
      <c r="D999" s="50"/>
      <c r="E999" s="50"/>
      <c r="F999" s="50"/>
      <c r="G999" s="13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</row>
    <row r="1000" spans="1:26" ht="11.25" customHeight="1">
      <c r="A1000" s="50"/>
      <c r="B1000" s="50"/>
      <c r="C1000" s="50"/>
      <c r="D1000" s="50"/>
      <c r="E1000" s="50"/>
      <c r="F1000" s="50"/>
      <c r="G1000" s="13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</row>
  </sheetData>
  <mergeCells count="18">
    <mergeCell ref="B2:G2"/>
    <mergeCell ref="B3:G3"/>
    <mergeCell ref="B5:G5"/>
    <mergeCell ref="D7:E7"/>
    <mergeCell ref="F7:G7"/>
    <mergeCell ref="B8:C8"/>
    <mergeCell ref="B10:C10"/>
    <mergeCell ref="B51:H51"/>
    <mergeCell ref="C53:D53"/>
    <mergeCell ref="E53:F53"/>
    <mergeCell ref="G53:H53"/>
    <mergeCell ref="B11:C11"/>
    <mergeCell ref="B12:C12"/>
    <mergeCell ref="B14:C14"/>
    <mergeCell ref="B21:G21"/>
    <mergeCell ref="B22:G22"/>
    <mergeCell ref="B49:H49"/>
    <mergeCell ref="B50:H50"/>
  </mergeCells>
  <printOptions horizontalCentered="1"/>
  <pageMargins left="0.70866141732283472" right="0.70866141732283472" top="0.74803149606299213" bottom="0.74803149606299213" header="0" footer="0"/>
  <pageSetup paperSize="14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4C6E7"/>
  </sheetPr>
  <dimension ref="A1:Z1000"/>
  <sheetViews>
    <sheetView topLeftCell="A16" workbookViewId="0">
      <selection activeCell="C40" sqref="C40:E40"/>
    </sheetView>
  </sheetViews>
  <sheetFormatPr baseColWidth="10" defaultColWidth="14.42578125" defaultRowHeight="15" customHeight="1"/>
  <cols>
    <col min="1" max="1" width="3.140625" customWidth="1"/>
    <col min="2" max="2" width="37.5703125" customWidth="1"/>
    <col min="3" max="5" width="16.7109375" customWidth="1"/>
    <col min="6" max="6" width="1.5703125" customWidth="1"/>
    <col min="7" max="8" width="11.42578125" customWidth="1"/>
    <col min="9" max="9" width="17.140625" customWidth="1"/>
    <col min="10" max="26" width="11.4257812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 t="s">
        <v>555</v>
      </c>
      <c r="J1" s="1">
        <v>992.12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8" t="s">
        <v>556</v>
      </c>
      <c r="C2" s="8"/>
      <c r="D2" s="8"/>
      <c r="E2" s="8"/>
      <c r="F2" s="8"/>
      <c r="G2" s="8"/>
      <c r="H2" s="1"/>
      <c r="I2" s="1" t="s">
        <v>557</v>
      </c>
      <c r="J2" s="1">
        <v>884.59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26" t="s">
        <v>558</v>
      </c>
      <c r="C3" s="26"/>
      <c r="D3" s="26"/>
      <c r="E3" s="26"/>
      <c r="F3" s="26"/>
      <c r="G3" s="26"/>
      <c r="H3" s="1"/>
      <c r="I3" s="1" t="s">
        <v>559</v>
      </c>
      <c r="J3" s="1">
        <v>859.51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8" t="s">
        <v>539</v>
      </c>
      <c r="C4" s="18"/>
      <c r="D4" s="18"/>
      <c r="E4" s="18"/>
      <c r="F4" s="18"/>
      <c r="G4" s="1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1" customHeight="1">
      <c r="A6" s="79"/>
      <c r="B6" s="79"/>
      <c r="C6" s="95" t="s">
        <v>560</v>
      </c>
      <c r="D6" s="95" t="s">
        <v>561</v>
      </c>
      <c r="E6" s="95" t="s">
        <v>562</v>
      </c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spans="1:26" ht="12.75" customHeight="1">
      <c r="A7" s="96"/>
      <c r="B7" s="96"/>
      <c r="C7" s="97"/>
      <c r="D7" s="97"/>
      <c r="E7" s="97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</row>
    <row r="8" spans="1:26">
      <c r="A8" s="2"/>
      <c r="B8" s="2" t="s">
        <v>563</v>
      </c>
      <c r="C8" s="98">
        <v>3480526.4630686427</v>
      </c>
      <c r="D8" s="98">
        <v>571746.36800799996</v>
      </c>
      <c r="E8" s="98">
        <v>522590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1" customHeight="1">
      <c r="A9" s="99"/>
      <c r="B9" s="100" t="s">
        <v>564</v>
      </c>
      <c r="C9" s="101">
        <f t="shared" ref="C9:E9" si="0">C8</f>
        <v>3480526.4630686427</v>
      </c>
      <c r="D9" s="101">
        <f t="shared" si="0"/>
        <v>571746.36800799996</v>
      </c>
      <c r="E9" s="101">
        <f t="shared" si="0"/>
        <v>522590</v>
      </c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 spans="1:26">
      <c r="A10" s="1"/>
      <c r="B10" s="1"/>
      <c r="C10" s="102"/>
      <c r="D10" s="102"/>
      <c r="E10" s="10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2"/>
      <c r="B11" s="2" t="s">
        <v>565</v>
      </c>
      <c r="C11" s="98">
        <v>176435</v>
      </c>
      <c r="D11" s="98">
        <v>0</v>
      </c>
      <c r="E11" s="98">
        <v>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 t="s">
        <v>566</v>
      </c>
      <c r="C12" s="98">
        <v>158595</v>
      </c>
      <c r="D12" s="98">
        <v>138970.494607</v>
      </c>
      <c r="E12" s="98">
        <v>109946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 t="s">
        <v>567</v>
      </c>
      <c r="C13" s="98">
        <v>219311</v>
      </c>
      <c r="D13" s="98">
        <v>383432.96622</v>
      </c>
      <c r="E13" s="98">
        <v>464946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1" customHeight="1">
      <c r="A14" s="99"/>
      <c r="B14" s="100" t="s">
        <v>568</v>
      </c>
      <c r="C14" s="101">
        <f t="shared" ref="C14:E14" si="1">SUM(C11:C13)</f>
        <v>554341</v>
      </c>
      <c r="D14" s="101">
        <f t="shared" si="1"/>
        <v>522403.46082699997</v>
      </c>
      <c r="E14" s="101">
        <f t="shared" si="1"/>
        <v>574892</v>
      </c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 spans="1:26">
      <c r="A15" s="1"/>
      <c r="B15" s="1"/>
      <c r="C15" s="102"/>
      <c r="D15" s="102"/>
      <c r="E15" s="10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2"/>
      <c r="B16" s="2" t="s">
        <v>569</v>
      </c>
      <c r="C16" s="98">
        <v>5565564.0884274459</v>
      </c>
      <c r="D16" s="98">
        <v>7641580.6446829606</v>
      </c>
      <c r="E16" s="98">
        <v>9304389.0748000015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 t="s">
        <v>570</v>
      </c>
      <c r="C17" s="98">
        <v>6458515.0289818039</v>
      </c>
      <c r="D17" s="98">
        <v>5334176.4523280794</v>
      </c>
      <c r="E17" s="98">
        <v>3589688.5839999998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1" customHeight="1">
      <c r="A18" s="99"/>
      <c r="B18" s="100" t="s">
        <v>571</v>
      </c>
      <c r="C18" s="101">
        <f t="shared" ref="C18:E18" si="2">SUM(C16:C17)</f>
        <v>12024079.11740925</v>
      </c>
      <c r="D18" s="101">
        <f t="shared" si="2"/>
        <v>12975757.097011041</v>
      </c>
      <c r="E18" s="101">
        <f t="shared" si="2"/>
        <v>12894077.658800002</v>
      </c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 spans="1:26">
      <c r="A19" s="1"/>
      <c r="B19" s="1"/>
      <c r="C19" s="102"/>
      <c r="D19" s="102"/>
      <c r="E19" s="10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3"/>
      <c r="B20" s="13" t="s">
        <v>572</v>
      </c>
      <c r="C20" s="103">
        <f t="shared" ref="C20:E20" si="3">C9+C14+C18</f>
        <v>16058946.580477893</v>
      </c>
      <c r="D20" s="103">
        <f t="shared" si="3"/>
        <v>14069906.92584604</v>
      </c>
      <c r="E20" s="103">
        <f t="shared" si="3"/>
        <v>13991559.658800002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5.75" customHeight="1">
      <c r="A21" s="13"/>
      <c r="B21" s="13" t="s">
        <v>573</v>
      </c>
      <c r="C21" s="104">
        <f t="shared" ref="C21:D21" si="4">C20/$J$2</f>
        <v>18154.112730731631</v>
      </c>
      <c r="D21" s="104">
        <f t="shared" si="4"/>
        <v>15905.568597707457</v>
      </c>
      <c r="E21" s="104">
        <f>E20/$J$1</f>
        <v>14102.688846913681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7.5" customHeight="1">
      <c r="A22" s="1"/>
      <c r="B22" s="1"/>
      <c r="C22" s="6"/>
      <c r="D22" s="6"/>
      <c r="E22" s="6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263" t="s">
        <v>574</v>
      </c>
      <c r="C26" s="250"/>
      <c r="D26" s="250"/>
      <c r="E26" s="25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customHeight="1">
      <c r="A27" s="1"/>
      <c r="B27" s="257" t="s">
        <v>539</v>
      </c>
      <c r="C27" s="250"/>
      <c r="D27" s="250"/>
      <c r="E27" s="25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9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95" t="s">
        <v>560</v>
      </c>
      <c r="D29" s="95" t="s">
        <v>561</v>
      </c>
      <c r="E29" s="95" t="s">
        <v>562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05" t="s">
        <v>575</v>
      </c>
      <c r="C30" s="106"/>
      <c r="D30" s="106"/>
      <c r="E30" s="10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" customHeight="1">
      <c r="A31" s="1"/>
      <c r="B31" s="2" t="s">
        <v>576</v>
      </c>
      <c r="C31" s="107">
        <v>779502.86786</v>
      </c>
      <c r="D31" s="107">
        <v>571746.36800799996</v>
      </c>
      <c r="E31" s="107">
        <v>522590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>
      <c r="A32" s="1"/>
      <c r="B32" s="2" t="s">
        <v>577</v>
      </c>
      <c r="C32" s="107">
        <v>377906</v>
      </c>
      <c r="D32" s="107">
        <v>522403.46082699997</v>
      </c>
      <c r="E32" s="107">
        <v>574892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" customHeight="1">
      <c r="A33" s="1"/>
      <c r="B33" s="2" t="s">
        <v>578</v>
      </c>
      <c r="C33" s="107">
        <v>0</v>
      </c>
      <c r="D33" s="107">
        <v>0</v>
      </c>
      <c r="E33" s="107">
        <v>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.75" customHeight="1">
      <c r="A34" s="1"/>
      <c r="B34" s="100" t="s">
        <v>579</v>
      </c>
      <c r="C34" s="90">
        <f t="shared" ref="C34:E34" si="5">SUM(C31:C33)</f>
        <v>1157408.8678600001</v>
      </c>
      <c r="D34" s="90">
        <f t="shared" si="5"/>
        <v>1094149.8288349998</v>
      </c>
      <c r="E34" s="90">
        <f t="shared" si="5"/>
        <v>1097482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9" customHeight="1">
      <c r="A35" s="1"/>
      <c r="B35" s="2"/>
      <c r="C35" s="107"/>
      <c r="D35" s="107"/>
      <c r="E35" s="107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05" t="s">
        <v>580</v>
      </c>
      <c r="C36" s="107"/>
      <c r="D36" s="107"/>
      <c r="E36" s="107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2" t="s">
        <v>576</v>
      </c>
      <c r="C37" s="107">
        <v>2701023.5952086425</v>
      </c>
      <c r="D37" s="107">
        <v>0</v>
      </c>
      <c r="E37" s="107">
        <v>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2" t="s">
        <v>577</v>
      </c>
      <c r="C38" s="107">
        <v>176435</v>
      </c>
      <c r="D38" s="107">
        <v>0</v>
      </c>
      <c r="E38" s="107">
        <v>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2" t="s">
        <v>578</v>
      </c>
      <c r="C39" s="107">
        <v>12024079.11740925</v>
      </c>
      <c r="D39" s="107">
        <v>12975757.097011041</v>
      </c>
      <c r="E39" s="107">
        <v>12894077.658800002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customHeight="1">
      <c r="A40" s="1"/>
      <c r="B40" s="100" t="s">
        <v>579</v>
      </c>
      <c r="C40" s="90">
        <f t="shared" ref="C40:E40" si="6">SUM(C37:C39)</f>
        <v>14901537.712617893</v>
      </c>
      <c r="D40" s="90">
        <f t="shared" si="6"/>
        <v>12975757.097011041</v>
      </c>
      <c r="E40" s="90">
        <f t="shared" si="6"/>
        <v>12894077.658800002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7.5" customHeight="1">
      <c r="A41" s="1"/>
      <c r="B41" s="2"/>
      <c r="C41" s="107"/>
      <c r="D41" s="107"/>
      <c r="E41" s="107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05" t="s">
        <v>581</v>
      </c>
      <c r="C42" s="107"/>
      <c r="D42" s="107"/>
      <c r="E42" s="107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>
      <c r="A43" s="1"/>
      <c r="B43" s="2" t="s">
        <v>576</v>
      </c>
      <c r="C43" s="107">
        <v>3480526.4630686427</v>
      </c>
      <c r="D43" s="107">
        <v>571746.36800799996</v>
      </c>
      <c r="E43" s="107">
        <v>522590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>
      <c r="A44" s="1"/>
      <c r="B44" s="2" t="s">
        <v>577</v>
      </c>
      <c r="C44" s="107">
        <v>554341</v>
      </c>
      <c r="D44" s="107">
        <v>522403.46082699997</v>
      </c>
      <c r="E44" s="107">
        <v>574892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customHeight="1">
      <c r="A45" s="1"/>
      <c r="B45" s="2" t="s">
        <v>578</v>
      </c>
      <c r="C45" s="107">
        <v>12024079.11740925</v>
      </c>
      <c r="D45" s="107">
        <v>12975757.097011041</v>
      </c>
      <c r="E45" s="107">
        <v>12894077.658800002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>
      <c r="A46" s="1"/>
      <c r="B46" s="100" t="s">
        <v>581</v>
      </c>
      <c r="C46" s="90">
        <f t="shared" ref="C46:E46" si="7">SUM(C43:C45)</f>
        <v>16058946.580477893</v>
      </c>
      <c r="D46" s="90">
        <f t="shared" si="7"/>
        <v>14069906.92584604</v>
      </c>
      <c r="E46" s="90">
        <f t="shared" si="7"/>
        <v>13991559.658800002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5.25" customHeight="1">
      <c r="A47" s="1"/>
      <c r="B47" s="2"/>
      <c r="C47" s="2"/>
      <c r="D47" s="2"/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4" t="s">
        <v>582</v>
      </c>
      <c r="C48" s="4"/>
      <c r="D48" s="4"/>
      <c r="E48" s="4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7" customHeight="1">
      <c r="A49" s="1"/>
      <c r="B49" s="268" t="s">
        <v>583</v>
      </c>
      <c r="C49" s="250"/>
      <c r="D49" s="250"/>
      <c r="E49" s="25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26:E26"/>
    <mergeCell ref="B27:E27"/>
    <mergeCell ref="B49:E49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FBFBF"/>
  </sheetPr>
  <dimension ref="A1:Z1000"/>
  <sheetViews>
    <sheetView workbookViewId="0"/>
  </sheetViews>
  <sheetFormatPr baseColWidth="10" defaultColWidth="14.42578125" defaultRowHeight="15" customHeight="1"/>
  <cols>
    <col min="1" max="1" width="1.85546875" customWidth="1"/>
    <col min="2" max="2" width="52.7109375" customWidth="1"/>
    <col min="3" max="3" width="13.5703125" customWidth="1"/>
    <col min="4" max="4" width="15.140625" customWidth="1"/>
    <col min="5" max="5" width="10.7109375" customWidth="1"/>
    <col min="6" max="6" width="7.85546875" customWidth="1"/>
    <col min="7" max="7" width="10.85546875" customWidth="1"/>
    <col min="8" max="8" width="12.5703125" customWidth="1"/>
    <col min="9" max="26" width="10.7109375" customWidth="1"/>
  </cols>
  <sheetData>
    <row r="1" spans="1:26" ht="11.25" customHeight="1">
      <c r="A1" s="108"/>
      <c r="B1" s="264" t="s">
        <v>584</v>
      </c>
      <c r="C1" s="250"/>
      <c r="D1" s="250"/>
      <c r="E1" s="251"/>
      <c r="F1" s="109"/>
      <c r="G1" s="109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spans="1:26" ht="11.25" customHeight="1">
      <c r="A2" s="108"/>
      <c r="B2" s="252" t="s">
        <v>585</v>
      </c>
      <c r="C2" s="250"/>
      <c r="D2" s="250"/>
      <c r="E2" s="251"/>
      <c r="F2" s="109"/>
      <c r="G2" s="109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1:26" ht="11.25" customHeight="1">
      <c r="A3" s="108"/>
      <c r="B3" s="265" t="s">
        <v>586</v>
      </c>
      <c r="C3" s="250"/>
      <c r="D3" s="250"/>
      <c r="E3" s="251"/>
      <c r="F3" s="109"/>
      <c r="G3" s="109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spans="1:26" ht="11.25" customHeight="1">
      <c r="A4" s="108"/>
      <c r="B4" s="110"/>
      <c r="C4" s="110"/>
      <c r="D4" s="110"/>
      <c r="E4" s="110"/>
      <c r="F4" s="109"/>
      <c r="G4" s="109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spans="1:26" ht="11.25" customHeight="1">
      <c r="A5" s="108"/>
      <c r="B5" s="111" t="s">
        <v>587</v>
      </c>
      <c r="C5" s="112" t="s">
        <v>588</v>
      </c>
      <c r="D5" s="112" t="s">
        <v>589</v>
      </c>
      <c r="E5" s="113" t="s">
        <v>590</v>
      </c>
      <c r="F5" s="114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</row>
    <row r="6" spans="1:26" ht="6" customHeight="1">
      <c r="A6" s="108"/>
      <c r="B6" s="51"/>
      <c r="C6" s="115"/>
      <c r="D6" s="115"/>
      <c r="E6" s="116"/>
      <c r="F6" s="114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</row>
    <row r="7" spans="1:26" ht="11.25" customHeight="1">
      <c r="A7" s="4"/>
      <c r="B7" s="2" t="s">
        <v>591</v>
      </c>
      <c r="C7" s="107">
        <v>1638671673.1199999</v>
      </c>
      <c r="D7" s="107">
        <v>768410633.38</v>
      </c>
      <c r="E7" s="117">
        <v>0</v>
      </c>
      <c r="F7" s="118"/>
      <c r="G7" s="119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spans="1:26" ht="11.25" customHeight="1">
      <c r="A8" s="4"/>
      <c r="B8" s="2" t="s">
        <v>592</v>
      </c>
      <c r="C8" s="107">
        <v>16003371.6</v>
      </c>
      <c r="D8" s="107">
        <v>16711260.150000002</v>
      </c>
      <c r="E8" s="117">
        <v>0</v>
      </c>
      <c r="F8" s="118"/>
      <c r="G8" s="109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spans="1:26" ht="11.25" customHeight="1">
      <c r="A9" s="4"/>
      <c r="B9" s="2" t="s">
        <v>593</v>
      </c>
      <c r="C9" s="107">
        <v>6090607310.7600002</v>
      </c>
      <c r="D9" s="107">
        <v>3561937871.7649999</v>
      </c>
      <c r="E9" s="117">
        <f t="shared" ref="E9:E17" si="0">(D9-C9)*100/C9</f>
        <v>-41.517525428502253</v>
      </c>
      <c r="F9" s="118"/>
      <c r="G9" s="109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spans="1:26" ht="11.25" customHeight="1">
      <c r="A10" s="4"/>
      <c r="B10" s="2" t="s">
        <v>594</v>
      </c>
      <c r="C10" s="107">
        <v>12839486.640000001</v>
      </c>
      <c r="D10" s="107">
        <v>13407424.810000001</v>
      </c>
      <c r="E10" s="117">
        <f t="shared" si="0"/>
        <v>4.4233713225780491</v>
      </c>
      <c r="F10" s="114"/>
      <c r="G10" s="109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spans="1:26" ht="11.25" customHeight="1">
      <c r="A11" s="4"/>
      <c r="B11" s="2" t="s">
        <v>595</v>
      </c>
      <c r="C11" s="107">
        <v>11036808</v>
      </c>
      <c r="D11" s="107">
        <v>11525007</v>
      </c>
      <c r="E11" s="117">
        <f t="shared" si="0"/>
        <v>4.42337132257805</v>
      </c>
      <c r="F11" s="114"/>
      <c r="G11" s="109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spans="1:26" ht="11.25" customHeight="1">
      <c r="A12" s="4"/>
      <c r="B12" s="2" t="s">
        <v>596</v>
      </c>
      <c r="C12" s="107">
        <v>1879568402.4000001</v>
      </c>
      <c r="D12" s="107">
        <v>5154079172.125</v>
      </c>
      <c r="E12" s="117">
        <f t="shared" si="0"/>
        <v>174.21610011871945</v>
      </c>
      <c r="F12" s="114"/>
      <c r="G12" s="109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spans="1:26" ht="11.25" customHeight="1">
      <c r="A13" s="4"/>
      <c r="B13" s="2" t="s">
        <v>597</v>
      </c>
      <c r="C13" s="107">
        <v>16849526.879999999</v>
      </c>
      <c r="D13" s="107">
        <v>17594844.02</v>
      </c>
      <c r="E13" s="117">
        <f t="shared" si="0"/>
        <v>4.4233713225780535</v>
      </c>
      <c r="F13" s="114"/>
      <c r="G13" s="109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spans="1:26" ht="11.25" customHeight="1">
      <c r="A14" s="4"/>
      <c r="B14" s="2" t="s">
        <v>598</v>
      </c>
      <c r="C14" s="107">
        <v>53270993.280000001</v>
      </c>
      <c r="D14" s="107">
        <v>55627367.119999997</v>
      </c>
      <c r="E14" s="117">
        <f t="shared" si="0"/>
        <v>4.423371322578042</v>
      </c>
      <c r="F14" s="114"/>
      <c r="G14" s="109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spans="1:26" ht="11.25" customHeight="1">
      <c r="A15" s="4"/>
      <c r="B15" s="2" t="s">
        <v>599</v>
      </c>
      <c r="C15" s="107">
        <v>4578527825.3999996</v>
      </c>
      <c r="D15" s="107">
        <v>5530178567.2250004</v>
      </c>
      <c r="E15" s="117">
        <f t="shared" si="0"/>
        <v>20.785081539651024</v>
      </c>
      <c r="F15" s="114"/>
      <c r="G15" s="109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spans="1:26" ht="11.25" customHeight="1">
      <c r="A16" s="4"/>
      <c r="B16" s="2" t="s">
        <v>600</v>
      </c>
      <c r="C16" s="107">
        <v>6180612.4800000004</v>
      </c>
      <c r="D16" s="107">
        <v>6454003.9199999999</v>
      </c>
      <c r="E16" s="117">
        <f t="shared" si="0"/>
        <v>4.4233713225780411</v>
      </c>
      <c r="F16" s="114"/>
      <c r="G16" s="109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spans="1:26" ht="11.25" customHeight="1">
      <c r="A17" s="4"/>
      <c r="B17" s="2" t="s">
        <v>601</v>
      </c>
      <c r="C17" s="107">
        <v>3203617468.8000002</v>
      </c>
      <c r="D17" s="107">
        <v>3542018818</v>
      </c>
      <c r="E17" s="117">
        <f t="shared" si="0"/>
        <v>10.563101009895448</v>
      </c>
      <c r="F17" s="114"/>
      <c r="G17" s="109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spans="1:26" ht="11.25" customHeight="1">
      <c r="A18" s="4"/>
      <c r="B18" s="2" t="s">
        <v>602</v>
      </c>
      <c r="C18" s="107">
        <v>6530111.4000000004</v>
      </c>
      <c r="D18" s="107">
        <v>6818962.4749999996</v>
      </c>
      <c r="E18" s="117">
        <v>0</v>
      </c>
      <c r="F18" s="114"/>
      <c r="G18" s="109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spans="1:26" ht="11.25" customHeight="1">
      <c r="A19" s="4"/>
      <c r="B19" s="2" t="s">
        <v>603</v>
      </c>
      <c r="C19" s="107">
        <v>5546363913.6000004</v>
      </c>
      <c r="D19" s="107">
        <v>5791700184.3999996</v>
      </c>
      <c r="E19" s="117">
        <f t="shared" ref="E19:E20" si="1">(D19-C19)*100/C19</f>
        <v>4.4233713225780358</v>
      </c>
      <c r="F19" s="118"/>
      <c r="G19" s="119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spans="1:26" ht="11.25" customHeight="1">
      <c r="A20" s="4"/>
      <c r="B20" s="2" t="s">
        <v>604</v>
      </c>
      <c r="C20" s="107">
        <v>81635589.840000004</v>
      </c>
      <c r="D20" s="107">
        <v>85246635.109999999</v>
      </c>
      <c r="E20" s="117">
        <f t="shared" si="1"/>
        <v>4.4233713225780447</v>
      </c>
      <c r="F20" s="114"/>
      <c r="G20" s="119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spans="1:26" ht="11.25" customHeight="1">
      <c r="A21" s="4"/>
      <c r="B21" s="2" t="s">
        <v>605</v>
      </c>
      <c r="C21" s="107">
        <v>98429932.680000007</v>
      </c>
      <c r="D21" s="107">
        <v>102783854.095</v>
      </c>
      <c r="E21" s="117">
        <v>0</v>
      </c>
      <c r="F21" s="118"/>
      <c r="G21" s="109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spans="1:26" ht="11.25" customHeight="1">
      <c r="A22" s="4"/>
      <c r="B22" s="2" t="s">
        <v>606</v>
      </c>
      <c r="C22" s="107">
        <v>56398088.880000003</v>
      </c>
      <c r="D22" s="107">
        <v>58892785.770000003</v>
      </c>
      <c r="E22" s="117">
        <f t="shared" ref="E22:E28" si="2">(D22-C22)*100/C22</f>
        <v>4.4233713225780509</v>
      </c>
      <c r="F22" s="118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spans="1:26" ht="11.25" customHeight="1">
      <c r="A23" s="4"/>
      <c r="B23" s="2" t="s">
        <v>607</v>
      </c>
      <c r="C23" s="107">
        <v>9638812.3200000003</v>
      </c>
      <c r="D23" s="107">
        <v>10065172.779999999</v>
      </c>
      <c r="E23" s="117">
        <f t="shared" si="2"/>
        <v>4.4233713225780393</v>
      </c>
      <c r="F23" s="118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spans="1:26" ht="11.25" customHeight="1">
      <c r="A24" s="4"/>
      <c r="B24" s="2" t="s">
        <v>608</v>
      </c>
      <c r="C24" s="107">
        <v>6653355756</v>
      </c>
      <c r="D24" s="107">
        <v>7239625230.5</v>
      </c>
      <c r="E24" s="117">
        <f t="shared" si="2"/>
        <v>8.8116357519482076</v>
      </c>
      <c r="F24" s="118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spans="1:26" ht="11.25" customHeight="1">
      <c r="A25" s="4"/>
      <c r="B25" s="2" t="s">
        <v>609</v>
      </c>
      <c r="C25" s="107">
        <v>3958663898.7600002</v>
      </c>
      <c r="D25" s="107">
        <v>4516400534.8149996</v>
      </c>
      <c r="E25" s="117">
        <f t="shared" si="2"/>
        <v>14.089012109103354</v>
      </c>
      <c r="F25" s="118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spans="1:26" ht="11.25" customHeight="1">
      <c r="A26" s="4"/>
      <c r="B26" s="2" t="s">
        <v>610</v>
      </c>
      <c r="C26" s="107">
        <v>51872997.600000001</v>
      </c>
      <c r="D26" s="107">
        <v>918158891</v>
      </c>
      <c r="E26" s="117">
        <f t="shared" si="2"/>
        <v>1670.0131734819968</v>
      </c>
      <c r="F26" s="118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spans="1:26" ht="11.25" customHeight="1">
      <c r="A27" s="4"/>
      <c r="B27" s="2" t="s">
        <v>611</v>
      </c>
      <c r="C27" s="107">
        <v>9841153.8000000007</v>
      </c>
      <c r="D27" s="107">
        <v>922000560</v>
      </c>
      <c r="E27" s="117">
        <f t="shared" si="2"/>
        <v>9268.8258382873755</v>
      </c>
      <c r="F27" s="118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spans="1:26" ht="11.25" customHeight="1">
      <c r="A28" s="120"/>
      <c r="B28" s="51" t="s">
        <v>612</v>
      </c>
      <c r="C28" s="121">
        <f t="shared" ref="C28:D28" si="3">SUM(C7:C27)</f>
        <v>33979903734.240002</v>
      </c>
      <c r="D28" s="121">
        <f t="shared" si="3"/>
        <v>38329637780.459999</v>
      </c>
      <c r="E28" s="122">
        <f t="shared" si="2"/>
        <v>12.800901615965936</v>
      </c>
      <c r="F28" s="118"/>
      <c r="G28" s="119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spans="1:26" ht="11.25" customHeight="1">
      <c r="A29" s="108"/>
      <c r="B29" s="108"/>
      <c r="C29" s="123"/>
      <c r="D29" s="123"/>
      <c r="E29" s="124"/>
      <c r="F29" s="109"/>
      <c r="G29" s="109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spans="1:26" ht="11.25" customHeight="1">
      <c r="A30" s="108"/>
      <c r="B30" s="108"/>
      <c r="C30" s="123"/>
      <c r="D30" s="123"/>
      <c r="E30" s="124"/>
      <c r="F30" s="109"/>
      <c r="G30" s="109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spans="1:26" ht="24" customHeight="1">
      <c r="A31" s="108"/>
      <c r="B31" s="111" t="s">
        <v>587</v>
      </c>
      <c r="C31" s="112" t="str">
        <f t="shared" ref="C31:E31" si="4">+C5</f>
        <v>Saldo al 31.12.23</v>
      </c>
      <c r="D31" s="112" t="str">
        <f t="shared" si="4"/>
        <v>Saldo al 31.12.24</v>
      </c>
      <c r="E31" s="113" t="str">
        <f t="shared" si="4"/>
        <v>% Variación 23/24</v>
      </c>
      <c r="F31" s="109"/>
      <c r="G31" s="109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spans="1:26" ht="6" customHeight="1">
      <c r="A32" s="108"/>
      <c r="B32" s="108"/>
      <c r="C32" s="123"/>
      <c r="D32" s="123"/>
      <c r="E32" s="124"/>
      <c r="F32" s="109"/>
      <c r="G32" s="109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spans="1:26" ht="11.25" customHeight="1">
      <c r="A33" s="4"/>
      <c r="B33" s="2" t="s">
        <v>613</v>
      </c>
      <c r="C33" s="107">
        <v>5498380000</v>
      </c>
      <c r="D33" s="107">
        <v>2139285000</v>
      </c>
      <c r="E33" s="117">
        <f t="shared" ref="E33:E34" si="5">(D33-C33)*100/C33</f>
        <v>-61.092449048628872</v>
      </c>
      <c r="F33" s="118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spans="1:26" ht="11.25" customHeight="1">
      <c r="A34" s="4"/>
      <c r="B34" s="2" t="s">
        <v>614</v>
      </c>
      <c r="C34" s="107">
        <v>3320825000</v>
      </c>
      <c r="D34" s="107">
        <v>1157520000</v>
      </c>
      <c r="E34" s="117">
        <f t="shared" si="5"/>
        <v>-65.143601364118851</v>
      </c>
      <c r="F34" s="118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spans="1:26" ht="11.25" customHeight="1">
      <c r="A35" s="4"/>
      <c r="B35" s="2" t="s">
        <v>615</v>
      </c>
      <c r="C35" s="107">
        <v>0</v>
      </c>
      <c r="D35" s="107">
        <v>3366745000</v>
      </c>
      <c r="E35" s="117">
        <v>0</v>
      </c>
      <c r="F35" s="118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spans="1:26" ht="11.25" customHeight="1">
      <c r="A36" s="4"/>
      <c r="B36" s="2" t="s">
        <v>616</v>
      </c>
      <c r="C36" s="107">
        <v>0</v>
      </c>
      <c r="D36" s="107">
        <v>940075000</v>
      </c>
      <c r="E36" s="117">
        <v>0</v>
      </c>
      <c r="F36" s="118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spans="1:26" ht="11.25" customHeight="1">
      <c r="A37" s="4"/>
      <c r="B37" s="2" t="s">
        <v>617</v>
      </c>
      <c r="C37" s="107">
        <v>0</v>
      </c>
      <c r="D37" s="107">
        <v>4376510000</v>
      </c>
      <c r="E37" s="117">
        <v>0</v>
      </c>
      <c r="F37" s="118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spans="1:26" ht="11.25" customHeight="1">
      <c r="A38" s="4"/>
      <c r="B38" s="2" t="s">
        <v>618</v>
      </c>
      <c r="C38" s="107">
        <v>0</v>
      </c>
      <c r="D38" s="107">
        <v>2202570000</v>
      </c>
      <c r="E38" s="117">
        <v>0</v>
      </c>
      <c r="F38" s="118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spans="1:26" ht="11.25" customHeight="1">
      <c r="A39" s="4"/>
      <c r="B39" s="2" t="s">
        <v>619</v>
      </c>
      <c r="C39" s="107">
        <v>3870780000</v>
      </c>
      <c r="D39" s="107">
        <v>4575780000</v>
      </c>
      <c r="E39" s="117">
        <f t="shared" ref="E39:E40" si="6">(D39-C39)*100/C39</f>
        <v>18.213383349092432</v>
      </c>
      <c r="F39" s="118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spans="1:26" ht="11.25" customHeight="1">
      <c r="A40" s="4"/>
      <c r="B40" s="2" t="s">
        <v>620</v>
      </c>
      <c r="C40" s="107">
        <v>2050000</v>
      </c>
      <c r="D40" s="107">
        <v>2050000</v>
      </c>
      <c r="E40" s="117">
        <f t="shared" si="6"/>
        <v>0</v>
      </c>
      <c r="F40" s="118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spans="1:26" ht="11.25" customHeight="1">
      <c r="A41" s="4"/>
      <c r="B41" s="2" t="s">
        <v>621</v>
      </c>
      <c r="C41" s="107">
        <v>0</v>
      </c>
      <c r="D41" s="107">
        <v>3650000</v>
      </c>
      <c r="E41" s="117">
        <v>0</v>
      </c>
      <c r="F41" s="118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spans="1:26" ht="11.25" customHeight="1">
      <c r="A42" s="4"/>
      <c r="B42" s="2" t="s">
        <v>622</v>
      </c>
      <c r="C42" s="107">
        <v>4120200000</v>
      </c>
      <c r="D42" s="107">
        <v>4120200000</v>
      </c>
      <c r="E42" s="117">
        <f t="shared" ref="E42:E44" si="7">(D42-C42)*100/C42</f>
        <v>0</v>
      </c>
      <c r="F42" s="118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spans="1:26" ht="11.25" customHeight="1">
      <c r="A43" s="4"/>
      <c r="B43" s="2" t="s">
        <v>623</v>
      </c>
      <c r="C43" s="107">
        <v>3397970000</v>
      </c>
      <c r="D43" s="107">
        <v>3397970000</v>
      </c>
      <c r="E43" s="117">
        <f t="shared" si="7"/>
        <v>0</v>
      </c>
      <c r="F43" s="118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spans="1:26" ht="11.25" customHeight="1">
      <c r="A44" s="4"/>
      <c r="B44" s="2" t="s">
        <v>624</v>
      </c>
      <c r="C44" s="107">
        <v>2400565000</v>
      </c>
      <c r="D44" s="107">
        <v>2720565000</v>
      </c>
      <c r="E44" s="117">
        <f t="shared" si="7"/>
        <v>13.330195183217285</v>
      </c>
      <c r="F44" s="118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spans="1:26" ht="11.25" customHeight="1">
      <c r="A45" s="4"/>
      <c r="B45" s="2" t="s">
        <v>625</v>
      </c>
      <c r="C45" s="107">
        <v>0</v>
      </c>
      <c r="D45" s="107">
        <v>621600000</v>
      </c>
      <c r="E45" s="117">
        <v>0</v>
      </c>
      <c r="F45" s="118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spans="1:26" ht="11.25" customHeight="1">
      <c r="A46" s="4"/>
      <c r="B46" s="2" t="s">
        <v>626</v>
      </c>
      <c r="C46" s="107">
        <v>1750000000</v>
      </c>
      <c r="D46" s="107">
        <v>1750000000</v>
      </c>
      <c r="E46" s="117">
        <f t="shared" ref="E46:E51" si="8">(D46-C46)*100/C46</f>
        <v>0</v>
      </c>
      <c r="F46" s="118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spans="1:26" ht="11.25" customHeight="1">
      <c r="A47" s="4"/>
      <c r="B47" s="2" t="s">
        <v>627</v>
      </c>
      <c r="C47" s="107">
        <v>1968410000</v>
      </c>
      <c r="D47" s="107">
        <v>1968410000</v>
      </c>
      <c r="E47" s="117">
        <f t="shared" si="8"/>
        <v>0</v>
      </c>
      <c r="F47" s="118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spans="1:26" ht="11.25" customHeight="1">
      <c r="A48" s="4"/>
      <c r="B48" s="2" t="s">
        <v>628</v>
      </c>
      <c r="C48" s="107">
        <v>1040000000</v>
      </c>
      <c r="D48" s="107">
        <v>828435000</v>
      </c>
      <c r="E48" s="117">
        <f t="shared" si="8"/>
        <v>-20.342788461538461</v>
      </c>
      <c r="F48" s="118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spans="1:26" ht="11.25" customHeight="1">
      <c r="A49" s="4"/>
      <c r="B49" s="2" t="s">
        <v>629</v>
      </c>
      <c r="C49" s="107">
        <v>1500000000</v>
      </c>
      <c r="D49" s="107">
        <v>1500000000</v>
      </c>
      <c r="E49" s="117">
        <f t="shared" si="8"/>
        <v>0</v>
      </c>
      <c r="F49" s="118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spans="1:26" ht="11.25" customHeight="1">
      <c r="A50" s="4"/>
      <c r="B50" s="2" t="s">
        <v>630</v>
      </c>
      <c r="C50" s="107">
        <v>2719380000</v>
      </c>
      <c r="D50" s="107">
        <v>5147180000</v>
      </c>
      <c r="E50" s="117">
        <f t="shared" si="8"/>
        <v>89.277703005832208</v>
      </c>
      <c r="F50" s="118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spans="1:26" ht="11.25" customHeight="1">
      <c r="A51" s="4"/>
      <c r="B51" s="2" t="s">
        <v>631</v>
      </c>
      <c r="C51" s="107">
        <v>442150000</v>
      </c>
      <c r="D51" s="107">
        <v>305515000</v>
      </c>
      <c r="E51" s="117">
        <f t="shared" si="8"/>
        <v>-30.902408684835464</v>
      </c>
      <c r="F51" s="118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spans="1:26" ht="11.25" customHeight="1">
      <c r="A52" s="4"/>
      <c r="B52" s="2" t="s">
        <v>632</v>
      </c>
      <c r="C52" s="107">
        <v>0</v>
      </c>
      <c r="D52" s="107">
        <v>2021980000</v>
      </c>
      <c r="E52" s="117">
        <v>0</v>
      </c>
      <c r="F52" s="118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spans="1:26" ht="11.25" customHeight="1">
      <c r="A53" s="4"/>
      <c r="B53" s="2" t="s">
        <v>633</v>
      </c>
      <c r="C53" s="107">
        <v>1000000000</v>
      </c>
      <c r="D53" s="107">
        <v>1000000000</v>
      </c>
      <c r="E53" s="117">
        <f t="shared" ref="E53:E54" si="9">(D53-C53)*100/C53</f>
        <v>0</v>
      </c>
      <c r="F53" s="118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spans="1:26" ht="11.25" customHeight="1">
      <c r="A54" s="108"/>
      <c r="B54" s="51" t="s">
        <v>634</v>
      </c>
      <c r="C54" s="121">
        <f t="shared" ref="C54:D54" si="10">SUM(C33:C53)</f>
        <v>33030710000</v>
      </c>
      <c r="D54" s="121">
        <f t="shared" si="10"/>
        <v>44146040000</v>
      </c>
      <c r="E54" s="122">
        <f t="shared" si="9"/>
        <v>33.651501890210653</v>
      </c>
      <c r="F54" s="109"/>
      <c r="G54" s="109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spans="1:26" ht="11.25" customHeight="1">
      <c r="A55" s="108"/>
      <c r="B55" s="108"/>
      <c r="C55" s="123"/>
      <c r="D55" s="123"/>
      <c r="E55" s="124"/>
      <c r="F55" s="109"/>
      <c r="G55" s="109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spans="1:26" ht="11.25" customHeight="1">
      <c r="A56" s="108"/>
      <c r="B56" s="108"/>
      <c r="C56" s="123"/>
      <c r="D56" s="123"/>
      <c r="E56" s="124"/>
      <c r="F56" s="109"/>
      <c r="G56" s="109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spans="1:26" ht="11.25" customHeight="1">
      <c r="A57" s="108"/>
      <c r="B57" s="108"/>
      <c r="C57" s="123"/>
      <c r="D57" s="123"/>
      <c r="E57" s="124"/>
      <c r="F57" s="109"/>
      <c r="G57" s="109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spans="1:26" ht="11.25" customHeight="1">
      <c r="A58" s="120"/>
      <c r="B58" s="111" t="s">
        <v>587</v>
      </c>
      <c r="C58" s="112" t="str">
        <f t="shared" ref="C58:E58" si="11">C5</f>
        <v>Saldo al 31.12.23</v>
      </c>
      <c r="D58" s="112" t="str">
        <f t="shared" si="11"/>
        <v>Saldo al 31.12.24</v>
      </c>
      <c r="E58" s="113" t="str">
        <f t="shared" si="11"/>
        <v>% Variación 23/24</v>
      </c>
      <c r="F58" s="109"/>
      <c r="G58" s="109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spans="1:26" ht="5.25" customHeight="1">
      <c r="A59" s="120"/>
      <c r="B59" s="120"/>
      <c r="C59" s="125"/>
      <c r="D59" s="125"/>
      <c r="E59" s="126"/>
      <c r="F59" s="119"/>
      <c r="G59" s="119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spans="1:26" ht="11.25" customHeight="1">
      <c r="A60" s="127"/>
      <c r="B60" s="128" t="s">
        <v>635</v>
      </c>
      <c r="C60" s="107">
        <v>1301.624</v>
      </c>
      <c r="D60" s="107">
        <v>1301.624</v>
      </c>
      <c r="E60" s="117">
        <f>(D60-C60)*100/C60</f>
        <v>0</v>
      </c>
      <c r="F60" s="114"/>
      <c r="G60" s="109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spans="1:26" ht="11.25" hidden="1" customHeight="1">
      <c r="A61" s="4"/>
      <c r="B61" s="2" t="s">
        <v>636</v>
      </c>
      <c r="C61" s="107">
        <v>0</v>
      </c>
      <c r="D61" s="107">
        <v>0</v>
      </c>
      <c r="E61" s="117">
        <v>0</v>
      </c>
      <c r="F61" s="114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</row>
    <row r="62" spans="1:26" ht="11.25" hidden="1" customHeight="1">
      <c r="A62" s="4"/>
      <c r="B62" s="2" t="s">
        <v>637</v>
      </c>
      <c r="C62" s="107">
        <v>0</v>
      </c>
      <c r="D62" s="107">
        <v>0</v>
      </c>
      <c r="E62" s="117">
        <v>0</v>
      </c>
      <c r="F62" s="114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</row>
    <row r="63" spans="1:26" ht="11.25" customHeight="1">
      <c r="A63" s="4"/>
      <c r="B63" s="2" t="s">
        <v>638</v>
      </c>
      <c r="C63" s="107">
        <v>0</v>
      </c>
      <c r="D63" s="107">
        <v>0</v>
      </c>
      <c r="E63" s="117">
        <v>0</v>
      </c>
      <c r="F63" s="114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</row>
    <row r="64" spans="1:26" ht="11.25" customHeight="1">
      <c r="A64" s="4"/>
      <c r="B64" s="2" t="s">
        <v>639</v>
      </c>
      <c r="C64" s="107">
        <v>0</v>
      </c>
      <c r="D64" s="107">
        <v>0</v>
      </c>
      <c r="E64" s="117">
        <v>0</v>
      </c>
      <c r="F64" s="114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</row>
    <row r="65" spans="1:26" ht="11.25" customHeight="1">
      <c r="A65" s="4"/>
      <c r="B65" s="2" t="s">
        <v>640</v>
      </c>
      <c r="C65" s="107">
        <v>254330.871010976</v>
      </c>
      <c r="D65" s="107">
        <v>0</v>
      </c>
      <c r="E65" s="117">
        <f t="shared" ref="E65:E71" si="12">(D65-C65)*100/C65</f>
        <v>-100</v>
      </c>
      <c r="F65" s="114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</row>
    <row r="66" spans="1:26" ht="11.25" customHeight="1">
      <c r="A66" s="4"/>
      <c r="B66" s="2" t="s">
        <v>641</v>
      </c>
      <c r="C66" s="107">
        <v>1311449.2447332086</v>
      </c>
      <c r="D66" s="107">
        <v>0</v>
      </c>
      <c r="E66" s="117">
        <f t="shared" si="12"/>
        <v>-100</v>
      </c>
      <c r="F66" s="114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</row>
    <row r="67" spans="1:26" ht="11.25" customHeight="1">
      <c r="A67" s="4"/>
      <c r="B67" s="2" t="s">
        <v>642</v>
      </c>
      <c r="C67" s="107">
        <v>1142904.9555288774</v>
      </c>
      <c r="D67" s="107">
        <v>666230.39000161819</v>
      </c>
      <c r="E67" s="117">
        <f t="shared" si="12"/>
        <v>-41.707279614224689</v>
      </c>
      <c r="F67" s="114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</row>
    <row r="68" spans="1:26" ht="11.25" customHeight="1">
      <c r="A68" s="4"/>
      <c r="B68" s="2" t="s">
        <v>643</v>
      </c>
      <c r="C68" s="107">
        <v>2609970.3617513352</v>
      </c>
      <c r="D68" s="107">
        <v>1014281.871141019</v>
      </c>
      <c r="E68" s="117">
        <f t="shared" si="12"/>
        <v>-61.13818432557148</v>
      </c>
      <c r="F68" s="114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</row>
    <row r="69" spans="1:26" ht="11.25" customHeight="1">
      <c r="A69" s="4"/>
      <c r="B69" s="2" t="s">
        <v>644</v>
      </c>
      <c r="C69" s="107">
        <v>1846679.5015337327</v>
      </c>
      <c r="D69" s="107">
        <v>1291775.7458088337</v>
      </c>
      <c r="E69" s="117">
        <f t="shared" si="12"/>
        <v>-30.048730993333265</v>
      </c>
      <c r="F69" s="114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</row>
    <row r="70" spans="1:26" ht="11.25" customHeight="1">
      <c r="A70" s="4"/>
      <c r="B70" s="2" t="s">
        <v>645</v>
      </c>
      <c r="C70" s="107">
        <v>1055630.5729290696</v>
      </c>
      <c r="D70" s="107">
        <v>820474.42991891014</v>
      </c>
      <c r="E70" s="117">
        <f t="shared" si="12"/>
        <v>-22.276367229273134</v>
      </c>
      <c r="F70" s="114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</row>
    <row r="71" spans="1:26" ht="11.25" customHeight="1">
      <c r="A71" s="108"/>
      <c r="B71" s="51" t="s">
        <v>646</v>
      </c>
      <c r="C71" s="121">
        <f t="shared" ref="C71:D71" si="13">SUM(C60:C70)</f>
        <v>8222267.1314871991</v>
      </c>
      <c r="D71" s="121">
        <f t="shared" si="13"/>
        <v>3794064.0608703811</v>
      </c>
      <c r="E71" s="122">
        <f t="shared" si="12"/>
        <v>-53.856229672458582</v>
      </c>
      <c r="F71" s="114"/>
      <c r="G71" s="123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</row>
    <row r="72" spans="1:26" ht="11.25" customHeight="1">
      <c r="A72" s="108"/>
      <c r="B72" s="108"/>
      <c r="C72" s="107"/>
      <c r="D72" s="107"/>
      <c r="E72" s="117"/>
      <c r="F72" s="114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</row>
    <row r="73" spans="1:26" ht="11.25" hidden="1" customHeight="1">
      <c r="A73" s="120"/>
      <c r="B73" s="51" t="s">
        <v>647</v>
      </c>
      <c r="C73" s="121">
        <v>0</v>
      </c>
      <c r="D73" s="121">
        <v>0</v>
      </c>
      <c r="E73" s="122">
        <v>0</v>
      </c>
      <c r="F73" s="114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</row>
    <row r="74" spans="1:26" ht="11.25" hidden="1" customHeight="1">
      <c r="A74" s="120"/>
      <c r="B74" s="51" t="s">
        <v>648</v>
      </c>
      <c r="C74" s="121">
        <v>0</v>
      </c>
      <c r="D74" s="121">
        <v>0</v>
      </c>
      <c r="E74" s="122">
        <v>0</v>
      </c>
      <c r="F74" s="118"/>
      <c r="G74" s="119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spans="1:26" ht="11.25" hidden="1" customHeight="1">
      <c r="A75" s="120"/>
      <c r="B75" s="120" t="s">
        <v>649</v>
      </c>
      <c r="C75" s="129">
        <v>0</v>
      </c>
      <c r="D75" s="129">
        <v>0</v>
      </c>
      <c r="E75" s="117">
        <v>0</v>
      </c>
      <c r="F75" s="130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</row>
    <row r="76" spans="1:26" ht="11.25" hidden="1" customHeight="1">
      <c r="A76" s="120"/>
      <c r="B76" s="120" t="s">
        <v>650</v>
      </c>
      <c r="C76" s="129">
        <v>0</v>
      </c>
      <c r="D76" s="129">
        <v>0</v>
      </c>
      <c r="E76" s="131">
        <v>0</v>
      </c>
      <c r="F76" s="114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</row>
    <row r="77" spans="1:26" ht="11.25" hidden="1" customHeight="1">
      <c r="A77" s="120"/>
      <c r="B77" s="120" t="s">
        <v>651</v>
      </c>
      <c r="C77" s="129">
        <v>0</v>
      </c>
      <c r="D77" s="129">
        <v>0</v>
      </c>
      <c r="E77" s="131">
        <v>0</v>
      </c>
      <c r="F77" s="114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</row>
    <row r="78" spans="1:26" ht="11.25" hidden="1" customHeight="1">
      <c r="A78" s="108"/>
      <c r="B78" s="108"/>
      <c r="C78" s="107"/>
      <c r="D78" s="107"/>
      <c r="E78" s="117"/>
      <c r="F78" s="114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</row>
    <row r="79" spans="1:26" ht="11.25" customHeight="1">
      <c r="A79" s="3"/>
      <c r="B79" s="51" t="s">
        <v>152</v>
      </c>
      <c r="C79" s="121">
        <f t="shared" ref="C79:D79" si="14">C28+C54+C71</f>
        <v>67018836001.37149</v>
      </c>
      <c r="D79" s="121">
        <f t="shared" si="14"/>
        <v>82479471844.520859</v>
      </c>
      <c r="E79" s="122">
        <f>(D79-C79)*100/C79</f>
        <v>23.069090371597884</v>
      </c>
      <c r="F79" s="114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</row>
    <row r="80" spans="1:26" ht="11.25" customHeight="1">
      <c r="A80" s="109"/>
      <c r="B80" s="108"/>
      <c r="C80" s="132"/>
      <c r="D80" s="132"/>
      <c r="E80" s="133"/>
      <c r="F80" s="114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</row>
    <row r="81" spans="1:26" ht="11.25" customHeight="1">
      <c r="A81" s="109"/>
      <c r="B81" s="4" t="s">
        <v>66</v>
      </c>
      <c r="C81" s="132"/>
      <c r="D81" s="132"/>
      <c r="E81" s="133"/>
      <c r="F81" s="114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</row>
    <row r="82" spans="1:26" ht="6" customHeight="1">
      <c r="A82" s="109"/>
      <c r="B82" s="108"/>
      <c r="C82" s="132"/>
      <c r="D82" s="132"/>
      <c r="E82" s="133"/>
      <c r="F82" s="114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</row>
    <row r="83" spans="1:26" ht="11.25" customHeight="1">
      <c r="A83" s="109"/>
      <c r="B83" s="269" t="s">
        <v>652</v>
      </c>
      <c r="C83" s="270"/>
      <c r="D83" s="270"/>
      <c r="E83" s="271"/>
      <c r="F83" s="114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</row>
    <row r="84" spans="1:26" ht="11.25" customHeight="1">
      <c r="A84" s="109"/>
      <c r="B84" s="272"/>
      <c r="C84" s="273"/>
      <c r="D84" s="273"/>
      <c r="E84" s="274"/>
      <c r="F84" s="114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</row>
    <row r="85" spans="1:26" ht="11.25" customHeight="1">
      <c r="A85" s="109"/>
      <c r="B85" s="108"/>
      <c r="C85" s="132"/>
      <c r="D85" s="132"/>
      <c r="E85" s="133"/>
      <c r="F85" s="114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</row>
    <row r="86" spans="1:26" ht="11.25" customHeight="1">
      <c r="A86" s="109"/>
      <c r="B86" s="108"/>
      <c r="C86" s="132"/>
      <c r="D86" s="132"/>
      <c r="E86" s="133"/>
      <c r="F86" s="114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</row>
    <row r="87" spans="1:26" ht="11.25" customHeight="1">
      <c r="A87" s="109"/>
      <c r="B87" s="108"/>
      <c r="C87" s="132"/>
      <c r="D87" s="132"/>
      <c r="E87" s="133"/>
      <c r="F87" s="114"/>
      <c r="G87" s="109"/>
      <c r="H87" s="123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</row>
    <row r="88" spans="1:26" ht="11.25" customHeight="1">
      <c r="A88" s="109"/>
      <c r="B88" s="108"/>
      <c r="C88" s="132"/>
      <c r="D88" s="132"/>
      <c r="E88" s="133"/>
      <c r="F88" s="114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</row>
    <row r="89" spans="1:26" ht="11.25" customHeight="1">
      <c r="A89" s="109"/>
      <c r="B89" s="108"/>
      <c r="C89" s="132"/>
      <c r="D89" s="132"/>
      <c r="E89" s="133"/>
      <c r="F89" s="114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</row>
    <row r="90" spans="1:26" ht="11.25" customHeight="1">
      <c r="A90" s="109"/>
      <c r="B90" s="108"/>
      <c r="C90" s="132"/>
      <c r="D90" s="132"/>
      <c r="E90" s="133"/>
      <c r="F90" s="114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</row>
    <row r="91" spans="1:26" ht="11.25" customHeight="1">
      <c r="A91" s="109"/>
      <c r="B91" s="108"/>
      <c r="C91" s="132"/>
      <c r="D91" s="132"/>
      <c r="E91" s="133"/>
      <c r="F91" s="114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</row>
    <row r="92" spans="1:26" ht="11.25" customHeight="1">
      <c r="A92" s="109"/>
      <c r="B92" s="108"/>
      <c r="C92" s="132"/>
      <c r="D92" s="132"/>
      <c r="E92" s="133"/>
      <c r="F92" s="114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</row>
    <row r="93" spans="1:26" ht="11.25" customHeight="1">
      <c r="A93" s="109"/>
      <c r="B93" s="108"/>
      <c r="C93" s="132"/>
      <c r="D93" s="132"/>
      <c r="E93" s="133"/>
      <c r="F93" s="114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</row>
    <row r="94" spans="1:26" ht="11.25" customHeight="1">
      <c r="A94" s="109"/>
      <c r="B94" s="108"/>
      <c r="C94" s="132"/>
      <c r="D94" s="132"/>
      <c r="E94" s="133"/>
      <c r="F94" s="114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</row>
    <row r="95" spans="1:26" ht="11.25" customHeight="1">
      <c r="A95" s="109"/>
      <c r="B95" s="108"/>
      <c r="C95" s="132"/>
      <c r="D95" s="132"/>
      <c r="E95" s="133"/>
      <c r="F95" s="114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</row>
    <row r="96" spans="1:26" ht="11.25" customHeight="1">
      <c r="A96" s="109"/>
      <c r="B96" s="108"/>
      <c r="C96" s="132"/>
      <c r="D96" s="132"/>
      <c r="E96" s="133"/>
      <c r="F96" s="114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</row>
    <row r="97" spans="1:26" ht="11.25" customHeight="1">
      <c r="A97" s="109"/>
      <c r="B97" s="108"/>
      <c r="C97" s="132"/>
      <c r="D97" s="132"/>
      <c r="E97" s="133"/>
      <c r="F97" s="114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</row>
    <row r="98" spans="1:26" ht="11.25" customHeight="1">
      <c r="A98" s="109"/>
      <c r="B98" s="109"/>
      <c r="C98" s="132"/>
      <c r="D98" s="132"/>
      <c r="E98" s="133"/>
      <c r="F98" s="114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</row>
    <row r="99" spans="1:26" ht="11.25" customHeight="1">
      <c r="A99" s="109"/>
      <c r="B99" s="109"/>
      <c r="C99" s="132"/>
      <c r="D99" s="132"/>
      <c r="E99" s="133"/>
      <c r="F99" s="114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</row>
    <row r="100" spans="1:26" ht="11.25" customHeight="1">
      <c r="A100" s="108"/>
      <c r="B100" s="109"/>
      <c r="C100" s="132"/>
      <c r="D100" s="132"/>
      <c r="E100" s="133"/>
      <c r="F100" s="114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</row>
    <row r="101" spans="1:26" ht="11.25" customHeight="1">
      <c r="A101" s="108"/>
      <c r="B101" s="109"/>
      <c r="C101" s="132"/>
      <c r="D101" s="132"/>
      <c r="E101" s="133"/>
      <c r="F101" s="114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</row>
    <row r="102" spans="1:26" ht="11.25" customHeight="1">
      <c r="A102" s="108"/>
      <c r="B102" s="109"/>
      <c r="C102" s="132"/>
      <c r="D102" s="132"/>
      <c r="E102" s="133"/>
      <c r="F102" s="114"/>
      <c r="G102" s="109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spans="1:26" ht="11.25" customHeight="1">
      <c r="A103" s="108"/>
      <c r="B103" s="109"/>
      <c r="C103" s="132"/>
      <c r="D103" s="132"/>
      <c r="E103" s="133"/>
      <c r="F103" s="114"/>
      <c r="G103" s="109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spans="1:26" ht="11.25" customHeight="1">
      <c r="A104" s="108"/>
      <c r="B104" s="109"/>
      <c r="C104" s="132"/>
      <c r="D104" s="132"/>
      <c r="E104" s="133"/>
      <c r="F104" s="109"/>
      <c r="G104" s="109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spans="1:26" ht="11.25" customHeight="1">
      <c r="A105" s="108"/>
      <c r="B105" s="109"/>
      <c r="C105" s="132"/>
      <c r="D105" s="132"/>
      <c r="E105" s="133"/>
      <c r="F105" s="109"/>
      <c r="G105" s="109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spans="1:26" ht="11.25" customHeight="1">
      <c r="A106" s="108"/>
      <c r="B106" s="109"/>
      <c r="C106" s="132"/>
      <c r="D106" s="132"/>
      <c r="E106" s="133"/>
      <c r="F106" s="109"/>
      <c r="G106" s="109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spans="1:26" ht="11.25" customHeight="1">
      <c r="A107" s="108"/>
      <c r="B107" s="109"/>
      <c r="C107" s="132"/>
      <c r="D107" s="132"/>
      <c r="E107" s="133"/>
      <c r="F107" s="109"/>
      <c r="G107" s="109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spans="1:26" ht="11.25" customHeight="1">
      <c r="A108" s="108"/>
      <c r="B108" s="109"/>
      <c r="C108" s="132"/>
      <c r="D108" s="132"/>
      <c r="E108" s="133"/>
      <c r="F108" s="109"/>
      <c r="G108" s="109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spans="1:26" ht="11.25" customHeight="1">
      <c r="A109" s="108"/>
      <c r="B109" s="108"/>
      <c r="C109" s="123"/>
      <c r="D109" s="123"/>
      <c r="E109" s="124"/>
      <c r="F109" s="109"/>
      <c r="G109" s="109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spans="1:26" ht="11.25" customHeight="1">
      <c r="A110" s="108"/>
      <c r="B110" s="108"/>
      <c r="C110" s="123"/>
      <c r="D110" s="123"/>
      <c r="E110" s="124"/>
      <c r="F110" s="109"/>
      <c r="G110" s="109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spans="1:26" ht="11.25" customHeight="1">
      <c r="A111" s="108"/>
      <c r="B111" s="108"/>
      <c r="C111" s="123"/>
      <c r="D111" s="123"/>
      <c r="E111" s="124"/>
      <c r="F111" s="109"/>
      <c r="G111" s="109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spans="1:26" ht="11.25" customHeight="1">
      <c r="A112" s="108"/>
      <c r="B112" s="108"/>
      <c r="C112" s="123"/>
      <c r="D112" s="123"/>
      <c r="E112" s="124"/>
      <c r="F112" s="109"/>
      <c r="G112" s="109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spans="1:26" ht="11.25" customHeight="1">
      <c r="A113" s="108"/>
      <c r="B113" s="108"/>
      <c r="C113" s="123"/>
      <c r="D113" s="123"/>
      <c r="E113" s="124"/>
      <c r="F113" s="109"/>
      <c r="G113" s="109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spans="1:26" ht="11.25" customHeight="1">
      <c r="A114" s="108"/>
      <c r="B114" s="108"/>
      <c r="C114" s="123"/>
      <c r="D114" s="123"/>
      <c r="E114" s="124"/>
      <c r="F114" s="109"/>
      <c r="G114" s="109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spans="1:26" ht="11.25" customHeight="1">
      <c r="A115" s="108"/>
      <c r="B115" s="108"/>
      <c r="C115" s="123"/>
      <c r="D115" s="123"/>
      <c r="E115" s="124"/>
      <c r="F115" s="109"/>
      <c r="G115" s="109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spans="1:26" ht="11.25" customHeight="1">
      <c r="A116" s="108"/>
      <c r="B116" s="108"/>
      <c r="C116" s="123"/>
      <c r="D116" s="123"/>
      <c r="E116" s="124"/>
      <c r="F116" s="109"/>
      <c r="G116" s="109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spans="1:26" ht="11.25" customHeight="1">
      <c r="A117" s="108"/>
      <c r="B117" s="108"/>
      <c r="C117" s="123"/>
      <c r="D117" s="123"/>
      <c r="E117" s="124"/>
      <c r="F117" s="109"/>
      <c r="G117" s="109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spans="1:26" ht="11.25" customHeight="1">
      <c r="A118" s="108"/>
      <c r="B118" s="108"/>
      <c r="C118" s="123"/>
      <c r="D118" s="123"/>
      <c r="E118" s="124"/>
      <c r="F118" s="109"/>
      <c r="G118" s="109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spans="1:26" ht="11.25" customHeight="1">
      <c r="A119" s="108"/>
      <c r="B119" s="108"/>
      <c r="C119" s="123"/>
      <c r="D119" s="123"/>
      <c r="E119" s="124"/>
      <c r="F119" s="109"/>
      <c r="G119" s="109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spans="1:26" ht="11.25" customHeight="1">
      <c r="A120" s="108"/>
      <c r="B120" s="108"/>
      <c r="C120" s="123"/>
      <c r="D120" s="123"/>
      <c r="E120" s="124"/>
      <c r="F120" s="109"/>
      <c r="G120" s="109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spans="1:26" ht="11.25" customHeight="1">
      <c r="A121" s="108"/>
      <c r="B121" s="108"/>
      <c r="C121" s="123"/>
      <c r="D121" s="123"/>
      <c r="E121" s="124"/>
      <c r="F121" s="109"/>
      <c r="G121" s="109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spans="1:26" ht="11.25" customHeight="1">
      <c r="A122" s="108"/>
      <c r="B122" s="108"/>
      <c r="C122" s="123"/>
      <c r="D122" s="123"/>
      <c r="E122" s="124"/>
      <c r="F122" s="109"/>
      <c r="G122" s="109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spans="1:26" ht="11.25" customHeight="1">
      <c r="A123" s="108"/>
      <c r="B123" s="108"/>
      <c r="C123" s="123"/>
      <c r="D123" s="123"/>
      <c r="E123" s="124"/>
      <c r="F123" s="109"/>
      <c r="G123" s="109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spans="1:26" ht="11.25" customHeight="1">
      <c r="A124" s="108"/>
      <c r="B124" s="108"/>
      <c r="C124" s="123"/>
      <c r="D124" s="123"/>
      <c r="E124" s="124"/>
      <c r="F124" s="109"/>
      <c r="G124" s="109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spans="1:26" ht="11.25" customHeight="1">
      <c r="A125" s="108"/>
      <c r="B125" s="108"/>
      <c r="C125" s="123"/>
      <c r="D125" s="123"/>
      <c r="E125" s="124"/>
      <c r="F125" s="109"/>
      <c r="G125" s="109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spans="1:26" ht="11.25" customHeight="1">
      <c r="A126" s="108"/>
      <c r="B126" s="108"/>
      <c r="C126" s="123"/>
      <c r="D126" s="123"/>
      <c r="E126" s="124"/>
      <c r="F126" s="109"/>
      <c r="G126" s="109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spans="1:26" ht="11.25" customHeight="1">
      <c r="A127" s="108"/>
      <c r="B127" s="108"/>
      <c r="C127" s="123"/>
      <c r="D127" s="123"/>
      <c r="E127" s="124"/>
      <c r="F127" s="109"/>
      <c r="G127" s="109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spans="1:26" ht="11.25" customHeight="1">
      <c r="A128" s="108"/>
      <c r="B128" s="108"/>
      <c r="C128" s="123"/>
      <c r="D128" s="123"/>
      <c r="E128" s="124"/>
      <c r="F128" s="109"/>
      <c r="G128" s="109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spans="1:26" ht="11.25" customHeight="1">
      <c r="A129" s="108"/>
      <c r="B129" s="108"/>
      <c r="C129" s="123"/>
      <c r="D129" s="123"/>
      <c r="E129" s="124"/>
      <c r="F129" s="109"/>
      <c r="G129" s="109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spans="1:26" ht="11.25" customHeight="1">
      <c r="A130" s="108"/>
      <c r="B130" s="108"/>
      <c r="C130" s="123"/>
      <c r="D130" s="123"/>
      <c r="E130" s="124"/>
      <c r="F130" s="109"/>
      <c r="G130" s="109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spans="1:26" ht="11.25" customHeight="1">
      <c r="A131" s="108"/>
      <c r="B131" s="108"/>
      <c r="C131" s="123"/>
      <c r="D131" s="123"/>
      <c r="E131" s="124"/>
      <c r="F131" s="109"/>
      <c r="G131" s="109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spans="1:26" ht="11.25" customHeight="1">
      <c r="A132" s="108"/>
      <c r="B132" s="108"/>
      <c r="C132" s="123"/>
      <c r="D132" s="123"/>
      <c r="E132" s="124"/>
      <c r="F132" s="109"/>
      <c r="G132" s="109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spans="1:26" ht="11.25" customHeight="1">
      <c r="A133" s="108"/>
      <c r="B133" s="108"/>
      <c r="C133" s="123"/>
      <c r="D133" s="123"/>
      <c r="E133" s="124"/>
      <c r="F133" s="109"/>
      <c r="G133" s="109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spans="1:26" ht="11.25" customHeight="1">
      <c r="A134" s="108"/>
      <c r="B134" s="108"/>
      <c r="C134" s="123"/>
      <c r="D134" s="123"/>
      <c r="E134" s="124"/>
      <c r="F134" s="109"/>
      <c r="G134" s="109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spans="1:26" ht="11.25" customHeight="1">
      <c r="A135" s="108"/>
      <c r="B135" s="108"/>
      <c r="C135" s="123"/>
      <c r="D135" s="123"/>
      <c r="E135" s="124"/>
      <c r="F135" s="109"/>
      <c r="G135" s="109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spans="1:26" ht="11.25" customHeight="1">
      <c r="A136" s="108"/>
      <c r="B136" s="108"/>
      <c r="C136" s="123"/>
      <c r="D136" s="123"/>
      <c r="E136" s="124"/>
      <c r="F136" s="109"/>
      <c r="G136" s="109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spans="1:26" ht="11.25" customHeight="1">
      <c r="A137" s="108"/>
      <c r="B137" s="108"/>
      <c r="C137" s="123"/>
      <c r="D137" s="123"/>
      <c r="E137" s="124"/>
      <c r="F137" s="109"/>
      <c r="G137" s="109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spans="1:26" ht="11.25" customHeight="1">
      <c r="A138" s="108"/>
      <c r="B138" s="108"/>
      <c r="C138" s="123"/>
      <c r="D138" s="123"/>
      <c r="E138" s="124"/>
      <c r="F138" s="109"/>
      <c r="G138" s="109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spans="1:26" ht="11.25" customHeight="1">
      <c r="A139" s="108"/>
      <c r="B139" s="108"/>
      <c r="C139" s="123"/>
      <c r="D139" s="123"/>
      <c r="E139" s="124"/>
      <c r="F139" s="109"/>
      <c r="G139" s="109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spans="1:26" ht="11.25" customHeight="1">
      <c r="A140" s="108"/>
      <c r="B140" s="108"/>
      <c r="C140" s="123"/>
      <c r="D140" s="123"/>
      <c r="E140" s="124"/>
      <c r="F140" s="109"/>
      <c r="G140" s="109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spans="1:26" ht="11.25" customHeight="1">
      <c r="A141" s="108"/>
      <c r="B141" s="108"/>
      <c r="C141" s="123"/>
      <c r="D141" s="123"/>
      <c r="E141" s="124"/>
      <c r="F141" s="109"/>
      <c r="G141" s="109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spans="1:26" ht="11.25" customHeight="1">
      <c r="A142" s="108"/>
      <c r="B142" s="108"/>
      <c r="C142" s="123"/>
      <c r="D142" s="123"/>
      <c r="E142" s="124"/>
      <c r="F142" s="109"/>
      <c r="G142" s="109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spans="1:26" ht="11.25" customHeight="1">
      <c r="A143" s="108"/>
      <c r="B143" s="108"/>
      <c r="C143" s="123"/>
      <c r="D143" s="123"/>
      <c r="E143" s="124"/>
      <c r="F143" s="109"/>
      <c r="G143" s="109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spans="1:26" ht="11.25" customHeight="1">
      <c r="A144" s="108"/>
      <c r="B144" s="108"/>
      <c r="C144" s="123"/>
      <c r="D144" s="123"/>
      <c r="E144" s="124"/>
      <c r="F144" s="109"/>
      <c r="G144" s="109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spans="1:26" ht="11.25" customHeight="1">
      <c r="A145" s="108"/>
      <c r="B145" s="108"/>
      <c r="C145" s="123"/>
      <c r="D145" s="123"/>
      <c r="E145" s="124"/>
      <c r="F145" s="109"/>
      <c r="G145" s="109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spans="1:26" ht="11.25" customHeight="1">
      <c r="A146" s="108"/>
      <c r="B146" s="108"/>
      <c r="C146" s="123"/>
      <c r="D146" s="123"/>
      <c r="E146" s="124"/>
      <c r="F146" s="109"/>
      <c r="G146" s="109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spans="1:26" ht="11.25" customHeight="1">
      <c r="A147" s="108"/>
      <c r="B147" s="108"/>
      <c r="C147" s="123"/>
      <c r="D147" s="123"/>
      <c r="E147" s="124"/>
      <c r="F147" s="109"/>
      <c r="G147" s="109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spans="1:26" ht="11.25" customHeight="1">
      <c r="A148" s="108"/>
      <c r="B148" s="108"/>
      <c r="C148" s="123"/>
      <c r="D148" s="123"/>
      <c r="E148" s="124"/>
      <c r="F148" s="109"/>
      <c r="G148" s="109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spans="1:26" ht="11.25" customHeight="1">
      <c r="A149" s="108"/>
      <c r="B149" s="108"/>
      <c r="C149" s="123"/>
      <c r="D149" s="123"/>
      <c r="E149" s="124"/>
      <c r="F149" s="109"/>
      <c r="G149" s="109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spans="1:26" ht="11.25" customHeight="1">
      <c r="A150" s="108"/>
      <c r="B150" s="108"/>
      <c r="C150" s="123"/>
      <c r="D150" s="123"/>
      <c r="E150" s="124"/>
      <c r="F150" s="109"/>
      <c r="G150" s="109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spans="1:26" ht="11.25" customHeight="1">
      <c r="A151" s="108"/>
      <c r="B151" s="108"/>
      <c r="C151" s="123"/>
      <c r="D151" s="123"/>
      <c r="E151" s="124"/>
      <c r="F151" s="109"/>
      <c r="G151" s="109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spans="1:26" ht="11.25" customHeight="1">
      <c r="A152" s="108"/>
      <c r="B152" s="108"/>
      <c r="C152" s="123"/>
      <c r="D152" s="123"/>
      <c r="E152" s="124"/>
      <c r="F152" s="109"/>
      <c r="G152" s="109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spans="1:26" ht="11.25" customHeight="1">
      <c r="A153" s="108"/>
      <c r="B153" s="108"/>
      <c r="C153" s="123"/>
      <c r="D153" s="123"/>
      <c r="E153" s="124"/>
      <c r="F153" s="109"/>
      <c r="G153" s="109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spans="1:26" ht="11.25" customHeight="1">
      <c r="A154" s="108"/>
      <c r="B154" s="108"/>
      <c r="C154" s="123"/>
      <c r="D154" s="123"/>
      <c r="E154" s="124"/>
      <c r="F154" s="109"/>
      <c r="G154" s="109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spans="1:26" ht="11.25" customHeight="1">
      <c r="A155" s="108"/>
      <c r="B155" s="108"/>
      <c r="C155" s="123"/>
      <c r="D155" s="123"/>
      <c r="E155" s="124"/>
      <c r="F155" s="109"/>
      <c r="G155" s="109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spans="1:26" ht="11.25" customHeight="1">
      <c r="A156" s="108"/>
      <c r="B156" s="108"/>
      <c r="C156" s="123"/>
      <c r="D156" s="123"/>
      <c r="E156" s="124"/>
      <c r="F156" s="109"/>
      <c r="G156" s="109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spans="1:26" ht="11.25" customHeight="1">
      <c r="A157" s="108"/>
      <c r="B157" s="108"/>
      <c r="C157" s="123"/>
      <c r="D157" s="123"/>
      <c r="E157" s="124"/>
      <c r="F157" s="109"/>
      <c r="G157" s="109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spans="1:26" ht="11.25" customHeight="1">
      <c r="A158" s="108"/>
      <c r="B158" s="108"/>
      <c r="C158" s="123"/>
      <c r="D158" s="123"/>
      <c r="E158" s="124"/>
      <c r="F158" s="109"/>
      <c r="G158" s="109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spans="1:26" ht="11.25" customHeight="1">
      <c r="A159" s="108"/>
      <c r="B159" s="108"/>
      <c r="C159" s="123"/>
      <c r="D159" s="123"/>
      <c r="E159" s="124"/>
      <c r="F159" s="109"/>
      <c r="G159" s="109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spans="1:26" ht="11.25" customHeight="1">
      <c r="A160" s="108"/>
      <c r="B160" s="108"/>
      <c r="C160" s="123"/>
      <c r="D160" s="123"/>
      <c r="E160" s="124"/>
      <c r="F160" s="109"/>
      <c r="G160" s="109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spans="1:26" ht="11.25" customHeight="1">
      <c r="A161" s="108"/>
      <c r="B161" s="108"/>
      <c r="C161" s="123"/>
      <c r="D161" s="123"/>
      <c r="E161" s="124"/>
      <c r="F161" s="109"/>
      <c r="G161" s="109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spans="1:26" ht="11.25" customHeight="1">
      <c r="A162" s="108"/>
      <c r="B162" s="108"/>
      <c r="C162" s="123"/>
      <c r="D162" s="123"/>
      <c r="E162" s="124"/>
      <c r="F162" s="109"/>
      <c r="G162" s="109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spans="1:26" ht="11.25" customHeight="1">
      <c r="A163" s="108"/>
      <c r="B163" s="108"/>
      <c r="C163" s="123"/>
      <c r="D163" s="123"/>
      <c r="E163" s="124"/>
      <c r="F163" s="109"/>
      <c r="G163" s="109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spans="1:26" ht="11.25" customHeight="1">
      <c r="A164" s="108"/>
      <c r="B164" s="108"/>
      <c r="C164" s="123"/>
      <c r="D164" s="123"/>
      <c r="E164" s="124"/>
      <c r="F164" s="109"/>
      <c r="G164" s="109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spans="1:26" ht="11.25" customHeight="1">
      <c r="A165" s="108"/>
      <c r="B165" s="108"/>
      <c r="C165" s="123"/>
      <c r="D165" s="123"/>
      <c r="E165" s="124"/>
      <c r="F165" s="109"/>
      <c r="G165" s="109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spans="1:26" ht="11.25" customHeight="1">
      <c r="A166" s="108"/>
      <c r="B166" s="108"/>
      <c r="C166" s="123"/>
      <c r="D166" s="123"/>
      <c r="E166" s="124"/>
      <c r="F166" s="109"/>
      <c r="G166" s="109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spans="1:26" ht="11.25" customHeight="1">
      <c r="A167" s="108"/>
      <c r="B167" s="108"/>
      <c r="C167" s="123"/>
      <c r="D167" s="123"/>
      <c r="E167" s="124"/>
      <c r="F167" s="109"/>
      <c r="G167" s="109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spans="1:26" ht="11.25" customHeight="1">
      <c r="A168" s="108"/>
      <c r="B168" s="108"/>
      <c r="C168" s="123"/>
      <c r="D168" s="123"/>
      <c r="E168" s="124"/>
      <c r="F168" s="109"/>
      <c r="G168" s="109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spans="1:26" ht="11.25" customHeight="1">
      <c r="A169" s="108"/>
      <c r="B169" s="108"/>
      <c r="C169" s="123"/>
      <c r="D169" s="123"/>
      <c r="E169" s="124"/>
      <c r="F169" s="109"/>
      <c r="G169" s="109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spans="1:26" ht="11.25" customHeight="1">
      <c r="A170" s="108"/>
      <c r="B170" s="108"/>
      <c r="C170" s="123"/>
      <c r="D170" s="123"/>
      <c r="E170" s="124"/>
      <c r="F170" s="109"/>
      <c r="G170" s="109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spans="1:26" ht="11.25" customHeight="1">
      <c r="A171" s="108"/>
      <c r="B171" s="108"/>
      <c r="C171" s="123"/>
      <c r="D171" s="123"/>
      <c r="E171" s="124"/>
      <c r="F171" s="109"/>
      <c r="G171" s="109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spans="1:26" ht="11.25" customHeight="1">
      <c r="A172" s="108"/>
      <c r="B172" s="108"/>
      <c r="C172" s="123"/>
      <c r="D172" s="123"/>
      <c r="E172" s="124"/>
      <c r="F172" s="109"/>
      <c r="G172" s="109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spans="1:26" ht="11.25" customHeight="1">
      <c r="A173" s="108"/>
      <c r="B173" s="108"/>
      <c r="C173" s="123"/>
      <c r="D173" s="123"/>
      <c r="E173" s="124"/>
      <c r="F173" s="109"/>
      <c r="G173" s="109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spans="1:26" ht="11.25" customHeight="1">
      <c r="A174" s="108"/>
      <c r="B174" s="108"/>
      <c r="C174" s="123"/>
      <c r="D174" s="123"/>
      <c r="E174" s="124"/>
      <c r="F174" s="109"/>
      <c r="G174" s="109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spans="1:26" ht="11.25" customHeight="1">
      <c r="A175" s="108"/>
      <c r="B175" s="108"/>
      <c r="C175" s="123"/>
      <c r="D175" s="123"/>
      <c r="E175" s="124"/>
      <c r="F175" s="109"/>
      <c r="G175" s="109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spans="1:26" ht="11.25" customHeight="1">
      <c r="A176" s="108"/>
      <c r="B176" s="108"/>
      <c r="C176" s="123"/>
      <c r="D176" s="123"/>
      <c r="E176" s="124"/>
      <c r="F176" s="109"/>
      <c r="G176" s="109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spans="1:26" ht="11.25" customHeight="1">
      <c r="A177" s="108"/>
      <c r="B177" s="108"/>
      <c r="C177" s="123"/>
      <c r="D177" s="123"/>
      <c r="E177" s="124"/>
      <c r="F177" s="109"/>
      <c r="G177" s="109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spans="1:26" ht="11.25" customHeight="1">
      <c r="A178" s="108"/>
      <c r="B178" s="108"/>
      <c r="C178" s="123"/>
      <c r="D178" s="123"/>
      <c r="E178" s="124"/>
      <c r="F178" s="109"/>
      <c r="G178" s="109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spans="1:26" ht="11.25" customHeight="1">
      <c r="A179" s="108"/>
      <c r="B179" s="108"/>
      <c r="C179" s="123"/>
      <c r="D179" s="123"/>
      <c r="E179" s="124"/>
      <c r="F179" s="109"/>
      <c r="G179" s="109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spans="1:26" ht="11.25" customHeight="1">
      <c r="A180" s="108"/>
      <c r="B180" s="108"/>
      <c r="C180" s="123"/>
      <c r="D180" s="123"/>
      <c r="E180" s="124"/>
      <c r="F180" s="109"/>
      <c r="G180" s="109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spans="1:26" ht="11.25" customHeight="1">
      <c r="A181" s="108"/>
      <c r="B181" s="108"/>
      <c r="C181" s="123"/>
      <c r="D181" s="123"/>
      <c r="E181" s="124"/>
      <c r="F181" s="109"/>
      <c r="G181" s="109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spans="1:26" ht="11.25" customHeight="1">
      <c r="A182" s="108"/>
      <c r="B182" s="108"/>
      <c r="C182" s="123"/>
      <c r="D182" s="123"/>
      <c r="E182" s="124"/>
      <c r="F182" s="109"/>
      <c r="G182" s="109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spans="1:26" ht="11.25" customHeight="1">
      <c r="A183" s="108"/>
      <c r="B183" s="108"/>
      <c r="C183" s="123"/>
      <c r="D183" s="123"/>
      <c r="E183" s="124"/>
      <c r="F183" s="109"/>
      <c r="G183" s="109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spans="1:26" ht="11.25" customHeight="1">
      <c r="A184" s="108"/>
      <c r="B184" s="108"/>
      <c r="C184" s="123"/>
      <c r="D184" s="123"/>
      <c r="E184" s="124"/>
      <c r="F184" s="109"/>
      <c r="G184" s="109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spans="1:26" ht="11.25" customHeight="1">
      <c r="A185" s="108"/>
      <c r="B185" s="108"/>
      <c r="C185" s="123"/>
      <c r="D185" s="123"/>
      <c r="E185" s="124"/>
      <c r="F185" s="109"/>
      <c r="G185" s="109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spans="1:26" ht="11.25" customHeight="1">
      <c r="A186" s="108"/>
      <c r="B186" s="108"/>
      <c r="C186" s="123"/>
      <c r="D186" s="123"/>
      <c r="E186" s="124"/>
      <c r="F186" s="109"/>
      <c r="G186" s="109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spans="1:26" ht="11.25" customHeight="1">
      <c r="A187" s="108"/>
      <c r="B187" s="108"/>
      <c r="C187" s="123"/>
      <c r="D187" s="123"/>
      <c r="E187" s="124"/>
      <c r="F187" s="109"/>
      <c r="G187" s="109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spans="1:26" ht="11.25" customHeight="1">
      <c r="A188" s="108"/>
      <c r="B188" s="108"/>
      <c r="C188" s="123"/>
      <c r="D188" s="123"/>
      <c r="E188" s="124"/>
      <c r="F188" s="109"/>
      <c r="G188" s="109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spans="1:26" ht="11.25" customHeight="1">
      <c r="A189" s="108"/>
      <c r="B189" s="108"/>
      <c r="C189" s="123"/>
      <c r="D189" s="123"/>
      <c r="E189" s="124"/>
      <c r="F189" s="109"/>
      <c r="G189" s="109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spans="1:26" ht="11.25" customHeight="1">
      <c r="A190" s="108"/>
      <c r="B190" s="108"/>
      <c r="C190" s="123"/>
      <c r="D190" s="123"/>
      <c r="E190" s="124"/>
      <c r="F190" s="109"/>
      <c r="G190" s="109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spans="1:26" ht="11.25" customHeight="1">
      <c r="A191" s="108"/>
      <c r="B191" s="108"/>
      <c r="C191" s="123"/>
      <c r="D191" s="123"/>
      <c r="E191" s="124"/>
      <c r="F191" s="109"/>
      <c r="G191" s="109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spans="1:26" ht="11.25" customHeight="1">
      <c r="A192" s="108"/>
      <c r="B192" s="108"/>
      <c r="C192" s="123"/>
      <c r="D192" s="123"/>
      <c r="E192" s="124"/>
      <c r="F192" s="109"/>
      <c r="G192" s="109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spans="1:26" ht="11.25" customHeight="1">
      <c r="A193" s="108"/>
      <c r="B193" s="108"/>
      <c r="C193" s="123"/>
      <c r="D193" s="123"/>
      <c r="E193" s="124"/>
      <c r="F193" s="109"/>
      <c r="G193" s="109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spans="1:26" ht="11.25" customHeight="1">
      <c r="A194" s="108"/>
      <c r="B194" s="108"/>
      <c r="C194" s="123"/>
      <c r="D194" s="123"/>
      <c r="E194" s="124"/>
      <c r="F194" s="109"/>
      <c r="G194" s="109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spans="1:26" ht="11.25" customHeight="1">
      <c r="A195" s="108"/>
      <c r="B195" s="108"/>
      <c r="C195" s="123"/>
      <c r="D195" s="123"/>
      <c r="E195" s="124"/>
      <c r="F195" s="109"/>
      <c r="G195" s="109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spans="1:26" ht="11.25" customHeight="1">
      <c r="A196" s="108"/>
      <c r="B196" s="108"/>
      <c r="C196" s="123"/>
      <c r="D196" s="123"/>
      <c r="E196" s="124"/>
      <c r="F196" s="109"/>
      <c r="G196" s="109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spans="1:26" ht="11.25" customHeight="1">
      <c r="A197" s="108"/>
      <c r="B197" s="108"/>
      <c r="C197" s="123"/>
      <c r="D197" s="123"/>
      <c r="E197" s="124"/>
      <c r="F197" s="109"/>
      <c r="G197" s="109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spans="1:26" ht="11.25" customHeight="1">
      <c r="A198" s="108"/>
      <c r="B198" s="108"/>
      <c r="C198" s="123"/>
      <c r="D198" s="123"/>
      <c r="E198" s="124"/>
      <c r="F198" s="109"/>
      <c r="G198" s="109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spans="1:26" ht="11.25" customHeight="1">
      <c r="A199" s="108"/>
      <c r="B199" s="108"/>
      <c r="C199" s="123"/>
      <c r="D199" s="123"/>
      <c r="E199" s="124"/>
      <c r="F199" s="109"/>
      <c r="G199" s="109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spans="1:26" ht="11.25" customHeight="1">
      <c r="A200" s="108"/>
      <c r="B200" s="108"/>
      <c r="C200" s="123"/>
      <c r="D200" s="123"/>
      <c r="E200" s="124"/>
      <c r="F200" s="109"/>
      <c r="G200" s="109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spans="1:26" ht="11.25" customHeight="1">
      <c r="A201" s="108"/>
      <c r="B201" s="108"/>
      <c r="C201" s="123"/>
      <c r="D201" s="123"/>
      <c r="E201" s="124"/>
      <c r="F201" s="109"/>
      <c r="G201" s="109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spans="1:26" ht="11.25" customHeight="1">
      <c r="A202" s="108"/>
      <c r="B202" s="108"/>
      <c r="C202" s="123"/>
      <c r="D202" s="123"/>
      <c r="E202" s="124"/>
      <c r="F202" s="109"/>
      <c r="G202" s="109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spans="1:26" ht="11.25" customHeight="1">
      <c r="A203" s="108"/>
      <c r="B203" s="108"/>
      <c r="C203" s="123"/>
      <c r="D203" s="123"/>
      <c r="E203" s="124"/>
      <c r="F203" s="109"/>
      <c r="G203" s="109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spans="1:26" ht="11.25" customHeight="1">
      <c r="A204" s="108"/>
      <c r="B204" s="108"/>
      <c r="C204" s="123"/>
      <c r="D204" s="123"/>
      <c r="E204" s="124"/>
      <c r="F204" s="109"/>
      <c r="G204" s="109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spans="1:26" ht="11.25" customHeight="1">
      <c r="A205" s="108"/>
      <c r="B205" s="108"/>
      <c r="C205" s="123"/>
      <c r="D205" s="123"/>
      <c r="E205" s="124"/>
      <c r="F205" s="109"/>
      <c r="G205" s="109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spans="1:26" ht="11.25" customHeight="1">
      <c r="A206" s="108"/>
      <c r="B206" s="108"/>
      <c r="C206" s="123"/>
      <c r="D206" s="123"/>
      <c r="E206" s="124"/>
      <c r="F206" s="109"/>
      <c r="G206" s="109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spans="1:26" ht="11.25" customHeight="1">
      <c r="A207" s="108"/>
      <c r="B207" s="108"/>
      <c r="C207" s="123"/>
      <c r="D207" s="123"/>
      <c r="E207" s="124"/>
      <c r="F207" s="109"/>
      <c r="G207" s="109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spans="1:26" ht="11.25" customHeight="1">
      <c r="A208" s="108"/>
      <c r="B208" s="108"/>
      <c r="C208" s="123"/>
      <c r="D208" s="123"/>
      <c r="E208" s="124"/>
      <c r="F208" s="109"/>
      <c r="G208" s="109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spans="1:26" ht="11.25" customHeight="1">
      <c r="A209" s="108"/>
      <c r="B209" s="108"/>
      <c r="C209" s="123"/>
      <c r="D209" s="123"/>
      <c r="E209" s="124"/>
      <c r="F209" s="109"/>
      <c r="G209" s="109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spans="1:26" ht="11.25" customHeight="1">
      <c r="A210" s="108"/>
      <c r="B210" s="108"/>
      <c r="C210" s="123"/>
      <c r="D210" s="123"/>
      <c r="E210" s="124"/>
      <c r="F210" s="109"/>
      <c r="G210" s="109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spans="1:26" ht="11.25" customHeight="1">
      <c r="A211" s="108"/>
      <c r="B211" s="108"/>
      <c r="C211" s="123"/>
      <c r="D211" s="123"/>
      <c r="E211" s="124"/>
      <c r="F211" s="109"/>
      <c r="G211" s="109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spans="1:26" ht="11.25" customHeight="1">
      <c r="A212" s="108"/>
      <c r="B212" s="108"/>
      <c r="C212" s="123"/>
      <c r="D212" s="123"/>
      <c r="E212" s="124"/>
      <c r="F212" s="109"/>
      <c r="G212" s="109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spans="1:26" ht="11.25" customHeight="1">
      <c r="A213" s="108"/>
      <c r="B213" s="108"/>
      <c r="C213" s="123"/>
      <c r="D213" s="123"/>
      <c r="E213" s="124"/>
      <c r="F213" s="109"/>
      <c r="G213" s="109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spans="1:26" ht="11.25" customHeight="1">
      <c r="A214" s="108"/>
      <c r="B214" s="108"/>
      <c r="C214" s="123"/>
      <c r="D214" s="123"/>
      <c r="E214" s="124"/>
      <c r="F214" s="109"/>
      <c r="G214" s="109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spans="1:26" ht="11.25" customHeight="1">
      <c r="A215" s="108"/>
      <c r="B215" s="108"/>
      <c r="C215" s="123"/>
      <c r="D215" s="123"/>
      <c r="E215" s="124"/>
      <c r="F215" s="109"/>
      <c r="G215" s="109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spans="1:26" ht="11.25" customHeight="1">
      <c r="A216" s="108"/>
      <c r="B216" s="108"/>
      <c r="C216" s="123"/>
      <c r="D216" s="123"/>
      <c r="E216" s="124"/>
      <c r="F216" s="109"/>
      <c r="G216" s="109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spans="1:26" ht="11.25" customHeight="1">
      <c r="A217" s="108"/>
      <c r="B217" s="108"/>
      <c r="C217" s="123"/>
      <c r="D217" s="123"/>
      <c r="E217" s="124"/>
      <c r="F217" s="109"/>
      <c r="G217" s="109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spans="1:26" ht="11.25" customHeight="1">
      <c r="A218" s="108"/>
      <c r="B218" s="108"/>
      <c r="C218" s="123"/>
      <c r="D218" s="123"/>
      <c r="E218" s="124"/>
      <c r="F218" s="109"/>
      <c r="G218" s="109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spans="1:26" ht="11.25" customHeight="1">
      <c r="A219" s="108"/>
      <c r="B219" s="108"/>
      <c r="C219" s="123"/>
      <c r="D219" s="123"/>
      <c r="E219" s="124"/>
      <c r="F219" s="109"/>
      <c r="G219" s="109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spans="1:26" ht="11.25" customHeight="1">
      <c r="A220" s="108"/>
      <c r="B220" s="108"/>
      <c r="C220" s="123"/>
      <c r="D220" s="123"/>
      <c r="E220" s="124"/>
      <c r="F220" s="109"/>
      <c r="G220" s="109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spans="1:26" ht="11.25" customHeight="1">
      <c r="A221" s="108"/>
      <c r="B221" s="108"/>
      <c r="C221" s="123"/>
      <c r="D221" s="123"/>
      <c r="E221" s="124"/>
      <c r="F221" s="109"/>
      <c r="G221" s="109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spans="1:26" ht="11.25" customHeight="1">
      <c r="A222" s="108"/>
      <c r="B222" s="108"/>
      <c r="C222" s="123"/>
      <c r="D222" s="123"/>
      <c r="E222" s="124"/>
      <c r="F222" s="109"/>
      <c r="G222" s="109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spans="1:26" ht="11.25" customHeight="1">
      <c r="A223" s="108"/>
      <c r="B223" s="108"/>
      <c r="C223" s="123"/>
      <c r="D223" s="123"/>
      <c r="E223" s="124"/>
      <c r="F223" s="109"/>
      <c r="G223" s="109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spans="1:26" ht="11.25" customHeight="1">
      <c r="A224" s="108"/>
      <c r="B224" s="108"/>
      <c r="C224" s="123"/>
      <c r="D224" s="123"/>
      <c r="E224" s="124"/>
      <c r="F224" s="109"/>
      <c r="G224" s="109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spans="1:26" ht="11.25" customHeight="1">
      <c r="A225" s="108"/>
      <c r="B225" s="108"/>
      <c r="C225" s="123"/>
      <c r="D225" s="123"/>
      <c r="E225" s="124"/>
      <c r="F225" s="109"/>
      <c r="G225" s="109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spans="1:26" ht="11.25" customHeight="1">
      <c r="A226" s="108"/>
      <c r="B226" s="108"/>
      <c r="C226" s="123"/>
      <c r="D226" s="123"/>
      <c r="E226" s="124"/>
      <c r="F226" s="109"/>
      <c r="G226" s="109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spans="1:26" ht="11.25" customHeight="1">
      <c r="A227" s="108"/>
      <c r="B227" s="108"/>
      <c r="C227" s="123"/>
      <c r="D227" s="123"/>
      <c r="E227" s="124"/>
      <c r="F227" s="109"/>
      <c r="G227" s="109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spans="1:26" ht="11.25" customHeight="1">
      <c r="A228" s="108"/>
      <c r="B228" s="108"/>
      <c r="C228" s="123"/>
      <c r="D228" s="123"/>
      <c r="E228" s="124"/>
      <c r="F228" s="109"/>
      <c r="G228" s="109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spans="1:26" ht="11.25" customHeight="1">
      <c r="A229" s="108"/>
      <c r="B229" s="108"/>
      <c r="C229" s="123"/>
      <c r="D229" s="123"/>
      <c r="E229" s="124"/>
      <c r="F229" s="109"/>
      <c r="G229" s="109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spans="1:26" ht="11.25" customHeight="1">
      <c r="A230" s="108"/>
      <c r="B230" s="108"/>
      <c r="C230" s="123"/>
      <c r="D230" s="123"/>
      <c r="E230" s="124"/>
      <c r="F230" s="109"/>
      <c r="G230" s="109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spans="1:26" ht="11.25" customHeight="1">
      <c r="A231" s="108"/>
      <c r="B231" s="108"/>
      <c r="C231" s="123"/>
      <c r="D231" s="123"/>
      <c r="E231" s="124"/>
      <c r="F231" s="109"/>
      <c r="G231" s="109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spans="1:26" ht="11.25" customHeight="1">
      <c r="A232" s="108"/>
      <c r="B232" s="108"/>
      <c r="C232" s="123"/>
      <c r="D232" s="123"/>
      <c r="E232" s="124"/>
      <c r="F232" s="109"/>
      <c r="G232" s="109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spans="1:26" ht="11.25" customHeight="1">
      <c r="A233" s="108"/>
      <c r="B233" s="108"/>
      <c r="C233" s="123"/>
      <c r="D233" s="123"/>
      <c r="E233" s="124"/>
      <c r="F233" s="109"/>
      <c r="G233" s="109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spans="1:26" ht="11.25" customHeight="1">
      <c r="A234" s="108"/>
      <c r="B234" s="108"/>
      <c r="C234" s="123"/>
      <c r="D234" s="123"/>
      <c r="E234" s="124"/>
      <c r="F234" s="109"/>
      <c r="G234" s="109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spans="1:26" ht="11.25" customHeight="1">
      <c r="A235" s="108"/>
      <c r="B235" s="108"/>
      <c r="C235" s="123"/>
      <c r="D235" s="123"/>
      <c r="E235" s="124"/>
      <c r="F235" s="109"/>
      <c r="G235" s="109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spans="1:26" ht="11.25" customHeight="1">
      <c r="A236" s="108"/>
      <c r="B236" s="108"/>
      <c r="C236" s="123"/>
      <c r="D236" s="123"/>
      <c r="E236" s="124"/>
      <c r="F236" s="109"/>
      <c r="G236" s="109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spans="1:26" ht="11.25" customHeight="1">
      <c r="A237" s="108"/>
      <c r="B237" s="108"/>
      <c r="C237" s="123"/>
      <c r="D237" s="123"/>
      <c r="E237" s="124"/>
      <c r="F237" s="109"/>
      <c r="G237" s="109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spans="1:26" ht="11.25" customHeight="1">
      <c r="A238" s="108"/>
      <c r="B238" s="108"/>
      <c r="C238" s="123"/>
      <c r="D238" s="123"/>
      <c r="E238" s="124"/>
      <c r="F238" s="109"/>
      <c r="G238" s="109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spans="1:26" ht="11.25" customHeight="1">
      <c r="A239" s="108"/>
      <c r="B239" s="108"/>
      <c r="C239" s="123"/>
      <c r="D239" s="123"/>
      <c r="E239" s="124"/>
      <c r="F239" s="109"/>
      <c r="G239" s="109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spans="1:26" ht="11.25" customHeight="1">
      <c r="A240" s="108"/>
      <c r="B240" s="108"/>
      <c r="C240" s="123"/>
      <c r="D240" s="123"/>
      <c r="E240" s="124"/>
      <c r="F240" s="109"/>
      <c r="G240" s="109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spans="1:26" ht="11.25" customHeight="1">
      <c r="A241" s="108"/>
      <c r="B241" s="108"/>
      <c r="C241" s="123"/>
      <c r="D241" s="123"/>
      <c r="E241" s="124"/>
      <c r="F241" s="109"/>
      <c r="G241" s="109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spans="1:26" ht="11.25" customHeight="1">
      <c r="A242" s="108"/>
      <c r="B242" s="108"/>
      <c r="C242" s="123"/>
      <c r="D242" s="123"/>
      <c r="E242" s="124"/>
      <c r="F242" s="109"/>
      <c r="G242" s="109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spans="1:26" ht="11.25" customHeight="1">
      <c r="A243" s="108"/>
      <c r="B243" s="108"/>
      <c r="C243" s="123"/>
      <c r="D243" s="123"/>
      <c r="E243" s="124"/>
      <c r="F243" s="109"/>
      <c r="G243" s="109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spans="1:26" ht="11.25" customHeight="1">
      <c r="A244" s="108"/>
      <c r="B244" s="108"/>
      <c r="C244" s="123"/>
      <c r="D244" s="123"/>
      <c r="E244" s="124"/>
      <c r="F244" s="109"/>
      <c r="G244" s="109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spans="1:26" ht="11.25" customHeight="1">
      <c r="A245" s="108"/>
      <c r="B245" s="108"/>
      <c r="C245" s="123"/>
      <c r="D245" s="123"/>
      <c r="E245" s="124"/>
      <c r="F245" s="109"/>
      <c r="G245" s="109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spans="1:26" ht="11.25" customHeight="1">
      <c r="A246" s="108"/>
      <c r="B246" s="108"/>
      <c r="C246" s="123"/>
      <c r="D246" s="123"/>
      <c r="E246" s="124"/>
      <c r="F246" s="109"/>
      <c r="G246" s="109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spans="1:26" ht="11.25" customHeight="1">
      <c r="A247" s="108"/>
      <c r="B247" s="108"/>
      <c r="C247" s="123"/>
      <c r="D247" s="123"/>
      <c r="E247" s="124"/>
      <c r="F247" s="109"/>
      <c r="G247" s="109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spans="1:26" ht="11.25" customHeight="1">
      <c r="A248" s="108"/>
      <c r="B248" s="108"/>
      <c r="C248" s="123"/>
      <c r="D248" s="123"/>
      <c r="E248" s="124"/>
      <c r="F248" s="109"/>
      <c r="G248" s="109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spans="1:26" ht="11.25" customHeight="1">
      <c r="A249" s="108"/>
      <c r="B249" s="108"/>
      <c r="C249" s="123"/>
      <c r="D249" s="123"/>
      <c r="E249" s="124"/>
      <c r="F249" s="109"/>
      <c r="G249" s="109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spans="1:26" ht="11.25" customHeight="1">
      <c r="A250" s="108"/>
      <c r="B250" s="108"/>
      <c r="C250" s="123"/>
      <c r="D250" s="123"/>
      <c r="E250" s="124"/>
      <c r="F250" s="109"/>
      <c r="G250" s="109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spans="1:26" ht="11.25" customHeight="1">
      <c r="A251" s="108"/>
      <c r="B251" s="108"/>
      <c r="C251" s="123"/>
      <c r="D251" s="123"/>
      <c r="E251" s="124"/>
      <c r="F251" s="109"/>
      <c r="G251" s="109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spans="1:26" ht="11.25" customHeight="1">
      <c r="A252" s="108"/>
      <c r="B252" s="108"/>
      <c r="C252" s="123"/>
      <c r="D252" s="123"/>
      <c r="E252" s="124"/>
      <c r="F252" s="109"/>
      <c r="G252" s="109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spans="1:26" ht="11.25" customHeight="1">
      <c r="A253" s="108"/>
      <c r="B253" s="108"/>
      <c r="C253" s="123"/>
      <c r="D253" s="123"/>
      <c r="E253" s="124"/>
      <c r="F253" s="109"/>
      <c r="G253" s="109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spans="1:26" ht="11.25" customHeight="1">
      <c r="A254" s="108"/>
      <c r="B254" s="108"/>
      <c r="C254" s="123"/>
      <c r="D254" s="123"/>
      <c r="E254" s="124"/>
      <c r="F254" s="109"/>
      <c r="G254" s="109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spans="1:26" ht="11.25" customHeight="1">
      <c r="A255" s="108"/>
      <c r="B255" s="108"/>
      <c r="C255" s="123"/>
      <c r="D255" s="123"/>
      <c r="E255" s="124"/>
      <c r="F255" s="109"/>
      <c r="G255" s="109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spans="1:26" ht="11.25" customHeight="1">
      <c r="A256" s="108"/>
      <c r="B256" s="108"/>
      <c r="C256" s="123"/>
      <c r="D256" s="123"/>
      <c r="E256" s="124"/>
      <c r="F256" s="109"/>
      <c r="G256" s="109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spans="1:26" ht="11.25" customHeight="1">
      <c r="A257" s="108"/>
      <c r="B257" s="108"/>
      <c r="C257" s="123"/>
      <c r="D257" s="123"/>
      <c r="E257" s="124"/>
      <c r="F257" s="109"/>
      <c r="G257" s="109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spans="1:26" ht="11.25" customHeight="1">
      <c r="A258" s="108"/>
      <c r="B258" s="108"/>
      <c r="C258" s="123"/>
      <c r="D258" s="123"/>
      <c r="E258" s="124"/>
      <c r="F258" s="109"/>
      <c r="G258" s="109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spans="1:26" ht="11.25" customHeight="1">
      <c r="A259" s="108"/>
      <c r="B259" s="108"/>
      <c r="C259" s="123"/>
      <c r="D259" s="123"/>
      <c r="E259" s="124"/>
      <c r="F259" s="109"/>
      <c r="G259" s="109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spans="1:26" ht="11.25" customHeight="1">
      <c r="A260" s="108"/>
      <c r="B260" s="108"/>
      <c r="C260" s="123"/>
      <c r="D260" s="123"/>
      <c r="E260" s="124"/>
      <c r="F260" s="109"/>
      <c r="G260" s="109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spans="1:26" ht="11.25" customHeight="1">
      <c r="A261" s="108"/>
      <c r="B261" s="108"/>
      <c r="C261" s="123"/>
      <c r="D261" s="123"/>
      <c r="E261" s="124"/>
      <c r="F261" s="109"/>
      <c r="G261" s="109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spans="1:26" ht="11.25" customHeight="1">
      <c r="A262" s="108"/>
      <c r="B262" s="108"/>
      <c r="C262" s="123"/>
      <c r="D262" s="123"/>
      <c r="E262" s="124"/>
      <c r="F262" s="109"/>
      <c r="G262" s="109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spans="1:26" ht="11.25" customHeight="1">
      <c r="A263" s="108"/>
      <c r="B263" s="108"/>
      <c r="C263" s="123"/>
      <c r="D263" s="123"/>
      <c r="E263" s="124"/>
      <c r="F263" s="109"/>
      <c r="G263" s="109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spans="1:26" ht="11.25" customHeight="1">
      <c r="A264" s="108"/>
      <c r="B264" s="108"/>
      <c r="C264" s="123"/>
      <c r="D264" s="123"/>
      <c r="E264" s="124"/>
      <c r="F264" s="109"/>
      <c r="G264" s="109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spans="1:26" ht="11.25" customHeight="1">
      <c r="A265" s="108"/>
      <c r="B265" s="108"/>
      <c r="C265" s="123"/>
      <c r="D265" s="123"/>
      <c r="E265" s="124"/>
      <c r="F265" s="109"/>
      <c r="G265" s="109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spans="1:26" ht="11.25" customHeight="1">
      <c r="A266" s="108"/>
      <c r="B266" s="108"/>
      <c r="C266" s="123"/>
      <c r="D266" s="123"/>
      <c r="E266" s="124"/>
      <c r="F266" s="109"/>
      <c r="G266" s="109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spans="1:26" ht="11.25" customHeight="1">
      <c r="A267" s="108"/>
      <c r="B267" s="108"/>
      <c r="C267" s="123"/>
      <c r="D267" s="123"/>
      <c r="E267" s="124"/>
      <c r="F267" s="109"/>
      <c r="G267" s="109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spans="1:26" ht="11.25" customHeight="1">
      <c r="A268" s="108"/>
      <c r="B268" s="108"/>
      <c r="C268" s="123"/>
      <c r="D268" s="123"/>
      <c r="E268" s="124"/>
      <c r="F268" s="109"/>
      <c r="G268" s="109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spans="1:26" ht="11.25" customHeight="1">
      <c r="A269" s="108"/>
      <c r="B269" s="108"/>
      <c r="C269" s="123"/>
      <c r="D269" s="123"/>
      <c r="E269" s="124"/>
      <c r="F269" s="109"/>
      <c r="G269" s="109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spans="1:26" ht="11.25" customHeight="1">
      <c r="A270" s="108"/>
      <c r="B270" s="108"/>
      <c r="C270" s="123"/>
      <c r="D270" s="123"/>
      <c r="E270" s="124"/>
      <c r="F270" s="109"/>
      <c r="G270" s="109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spans="1:26" ht="11.25" customHeight="1">
      <c r="A271" s="108"/>
      <c r="B271" s="108"/>
      <c r="C271" s="123"/>
      <c r="D271" s="123"/>
      <c r="E271" s="124"/>
      <c r="F271" s="109"/>
      <c r="G271" s="109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spans="1:26" ht="11.25" customHeight="1">
      <c r="A272" s="108"/>
      <c r="B272" s="108"/>
      <c r="C272" s="123"/>
      <c r="D272" s="123"/>
      <c r="E272" s="124"/>
      <c r="F272" s="109"/>
      <c r="G272" s="109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spans="1:26" ht="11.25" customHeight="1">
      <c r="A273" s="108"/>
      <c r="B273" s="108"/>
      <c r="C273" s="123"/>
      <c r="D273" s="123"/>
      <c r="E273" s="124"/>
      <c r="F273" s="109"/>
      <c r="G273" s="109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spans="1:26" ht="11.25" customHeight="1">
      <c r="A274" s="108"/>
      <c r="B274" s="108"/>
      <c r="C274" s="123"/>
      <c r="D274" s="123"/>
      <c r="E274" s="124"/>
      <c r="F274" s="109"/>
      <c r="G274" s="109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spans="1:26" ht="11.25" customHeight="1">
      <c r="A275" s="108"/>
      <c r="B275" s="108"/>
      <c r="C275" s="123"/>
      <c r="D275" s="123"/>
      <c r="E275" s="124"/>
      <c r="F275" s="109"/>
      <c r="G275" s="109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spans="1:26" ht="11.25" customHeight="1">
      <c r="A276" s="108"/>
      <c r="B276" s="108"/>
      <c r="C276" s="123"/>
      <c r="D276" s="123"/>
      <c r="E276" s="124"/>
      <c r="F276" s="109"/>
      <c r="G276" s="109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spans="1:26" ht="11.25" customHeight="1">
      <c r="A277" s="108"/>
      <c r="B277" s="108"/>
      <c r="C277" s="123"/>
      <c r="D277" s="123"/>
      <c r="E277" s="124"/>
      <c r="F277" s="109"/>
      <c r="G277" s="109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spans="1:26" ht="11.25" customHeight="1">
      <c r="A278" s="108"/>
      <c r="B278" s="108"/>
      <c r="C278" s="123"/>
      <c r="D278" s="123"/>
      <c r="E278" s="124"/>
      <c r="F278" s="109"/>
      <c r="G278" s="109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spans="1:26" ht="11.25" customHeight="1">
      <c r="A279" s="108"/>
      <c r="B279" s="108"/>
      <c r="C279" s="123"/>
      <c r="D279" s="123"/>
      <c r="E279" s="124"/>
      <c r="F279" s="109"/>
      <c r="G279" s="109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spans="1:26" ht="11.25" customHeight="1">
      <c r="A280" s="108"/>
      <c r="B280" s="108"/>
      <c r="C280" s="123"/>
      <c r="D280" s="123"/>
      <c r="E280" s="124"/>
      <c r="F280" s="109"/>
      <c r="G280" s="109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spans="1:26" ht="11.25" customHeight="1">
      <c r="A281" s="108"/>
      <c r="B281" s="108"/>
      <c r="C281" s="123"/>
      <c r="D281" s="123"/>
      <c r="E281" s="124"/>
      <c r="F281" s="109"/>
      <c r="G281" s="109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spans="1:26" ht="11.25" customHeight="1">
      <c r="A282" s="108"/>
      <c r="B282" s="108"/>
      <c r="C282" s="123"/>
      <c r="D282" s="123"/>
      <c r="E282" s="124"/>
      <c r="F282" s="109"/>
      <c r="G282" s="109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spans="1:26" ht="11.25" customHeight="1">
      <c r="A283" s="108"/>
      <c r="B283" s="108"/>
      <c r="C283" s="123"/>
      <c r="D283" s="123"/>
      <c r="E283" s="124"/>
      <c r="F283" s="109"/>
      <c r="G283" s="109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spans="1:26" ht="11.25" customHeight="1">
      <c r="A284" s="108"/>
      <c r="B284" s="108"/>
      <c r="C284" s="123"/>
      <c r="D284" s="123"/>
      <c r="E284" s="124"/>
      <c r="F284" s="109"/>
      <c r="G284" s="109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spans="1:26" ht="11.25" customHeight="1">
      <c r="A285" s="108"/>
      <c r="B285" s="108"/>
      <c r="C285" s="123"/>
      <c r="D285" s="123"/>
      <c r="E285" s="124"/>
      <c r="F285" s="109"/>
      <c r="G285" s="109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spans="1:26" ht="11.25" customHeight="1">
      <c r="A286" s="108"/>
      <c r="B286" s="108"/>
      <c r="C286" s="123"/>
      <c r="D286" s="123"/>
      <c r="E286" s="124"/>
      <c r="F286" s="109"/>
      <c r="G286" s="109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spans="1:26" ht="11.25" customHeight="1">
      <c r="A287" s="108"/>
      <c r="B287" s="108"/>
      <c r="C287" s="123"/>
      <c r="D287" s="123"/>
      <c r="E287" s="124"/>
      <c r="F287" s="109"/>
      <c r="G287" s="109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spans="1:26" ht="11.25" customHeight="1">
      <c r="A288" s="108"/>
      <c r="B288" s="108"/>
      <c r="C288" s="123"/>
      <c r="D288" s="123"/>
      <c r="E288" s="124"/>
      <c r="F288" s="109"/>
      <c r="G288" s="109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spans="1:26" ht="11.25" customHeight="1">
      <c r="A289" s="108"/>
      <c r="B289" s="108"/>
      <c r="C289" s="123"/>
      <c r="D289" s="123"/>
      <c r="E289" s="124"/>
      <c r="F289" s="109"/>
      <c r="G289" s="109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spans="1:26" ht="11.25" customHeight="1">
      <c r="A290" s="108"/>
      <c r="B290" s="108"/>
      <c r="C290" s="123"/>
      <c r="D290" s="123"/>
      <c r="E290" s="124"/>
      <c r="F290" s="109"/>
      <c r="G290" s="109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spans="1:26" ht="11.25" customHeight="1">
      <c r="A291" s="108"/>
      <c r="B291" s="108"/>
      <c r="C291" s="123"/>
      <c r="D291" s="123"/>
      <c r="E291" s="124"/>
      <c r="F291" s="109"/>
      <c r="G291" s="109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spans="1:26" ht="11.25" customHeight="1">
      <c r="A292" s="108"/>
      <c r="B292" s="108"/>
      <c r="C292" s="123"/>
      <c r="D292" s="123"/>
      <c r="E292" s="124"/>
      <c r="F292" s="109"/>
      <c r="G292" s="109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spans="1:26" ht="11.25" customHeight="1">
      <c r="A293" s="108"/>
      <c r="B293" s="108"/>
      <c r="C293" s="123"/>
      <c r="D293" s="123"/>
      <c r="E293" s="124"/>
      <c r="F293" s="109"/>
      <c r="G293" s="109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spans="1:26" ht="11.25" customHeight="1">
      <c r="A294" s="108"/>
      <c r="B294" s="108"/>
      <c r="C294" s="123"/>
      <c r="D294" s="123"/>
      <c r="E294" s="124"/>
      <c r="F294" s="109"/>
      <c r="G294" s="109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spans="1:26" ht="11.25" customHeight="1">
      <c r="A295" s="108"/>
      <c r="B295" s="108"/>
      <c r="C295" s="123"/>
      <c r="D295" s="123"/>
      <c r="E295" s="124"/>
      <c r="F295" s="109"/>
      <c r="G295" s="109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spans="1:26" ht="11.25" customHeight="1">
      <c r="A296" s="108"/>
      <c r="B296" s="108"/>
      <c r="C296" s="123"/>
      <c r="D296" s="123"/>
      <c r="E296" s="124"/>
      <c r="F296" s="109"/>
      <c r="G296" s="109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spans="1:26" ht="11.25" customHeight="1">
      <c r="A297" s="108"/>
      <c r="B297" s="108"/>
      <c r="C297" s="123"/>
      <c r="D297" s="123"/>
      <c r="E297" s="124"/>
      <c r="F297" s="109"/>
      <c r="G297" s="109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spans="1:26" ht="11.25" customHeight="1">
      <c r="A298" s="108"/>
      <c r="B298" s="108"/>
      <c r="C298" s="123"/>
      <c r="D298" s="123"/>
      <c r="E298" s="124"/>
      <c r="F298" s="109"/>
      <c r="G298" s="109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spans="1:26" ht="11.25" customHeight="1">
      <c r="A299" s="108"/>
      <c r="B299" s="108"/>
      <c r="C299" s="123"/>
      <c r="D299" s="123"/>
      <c r="E299" s="124"/>
      <c r="F299" s="109"/>
      <c r="G299" s="109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spans="1:26" ht="11.25" customHeight="1">
      <c r="A300" s="108"/>
      <c r="B300" s="108"/>
      <c r="C300" s="123"/>
      <c r="D300" s="123"/>
      <c r="E300" s="124"/>
      <c r="F300" s="109"/>
      <c r="G300" s="109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spans="1:26" ht="11.25" customHeight="1">
      <c r="A301" s="108"/>
      <c r="B301" s="108"/>
      <c r="C301" s="123"/>
      <c r="D301" s="123"/>
      <c r="E301" s="124"/>
      <c r="F301" s="109"/>
      <c r="G301" s="109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spans="1:26" ht="11.25" customHeight="1">
      <c r="A302" s="108"/>
      <c r="B302" s="108"/>
      <c r="C302" s="123"/>
      <c r="D302" s="123"/>
      <c r="E302" s="124"/>
      <c r="F302" s="109"/>
      <c r="G302" s="109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spans="1:26" ht="11.25" customHeight="1">
      <c r="A303" s="108"/>
      <c r="B303" s="108"/>
      <c r="C303" s="123"/>
      <c r="D303" s="123"/>
      <c r="E303" s="124"/>
      <c r="F303" s="109"/>
      <c r="G303" s="109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spans="1:26" ht="11.25" customHeight="1">
      <c r="A304" s="108"/>
      <c r="B304" s="108"/>
      <c r="C304" s="123"/>
      <c r="D304" s="123"/>
      <c r="E304" s="124"/>
      <c r="F304" s="109"/>
      <c r="G304" s="109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spans="1:26" ht="11.25" customHeight="1">
      <c r="A305" s="108"/>
      <c r="B305" s="108"/>
      <c r="C305" s="123"/>
      <c r="D305" s="123"/>
      <c r="E305" s="124"/>
      <c r="F305" s="109"/>
      <c r="G305" s="109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spans="1:26" ht="11.25" customHeight="1">
      <c r="A306" s="108"/>
      <c r="B306" s="108"/>
      <c r="C306" s="123"/>
      <c r="D306" s="123"/>
      <c r="E306" s="124"/>
      <c r="F306" s="109"/>
      <c r="G306" s="109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spans="1:26" ht="11.25" customHeight="1">
      <c r="A307" s="108"/>
      <c r="B307" s="108"/>
      <c r="C307" s="123"/>
      <c r="D307" s="123"/>
      <c r="E307" s="124"/>
      <c r="F307" s="109"/>
      <c r="G307" s="109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spans="1:26" ht="11.25" customHeight="1">
      <c r="A308" s="108"/>
      <c r="B308" s="108"/>
      <c r="C308" s="123"/>
      <c r="D308" s="123"/>
      <c r="E308" s="124"/>
      <c r="F308" s="109"/>
      <c r="G308" s="109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spans="1:26" ht="11.25" customHeight="1">
      <c r="A309" s="108"/>
      <c r="B309" s="108"/>
      <c r="C309" s="123"/>
      <c r="D309" s="123"/>
      <c r="E309" s="124"/>
      <c r="F309" s="109"/>
      <c r="G309" s="109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spans="1:26" ht="11.25" customHeight="1">
      <c r="A310" s="108"/>
      <c r="B310" s="108"/>
      <c r="C310" s="123"/>
      <c r="D310" s="123"/>
      <c r="E310" s="124"/>
      <c r="F310" s="109"/>
      <c r="G310" s="109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spans="1:26" ht="11.25" customHeight="1">
      <c r="A311" s="108"/>
      <c r="B311" s="108"/>
      <c r="C311" s="123"/>
      <c r="D311" s="123"/>
      <c r="E311" s="124"/>
      <c r="F311" s="109"/>
      <c r="G311" s="109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spans="1:26" ht="11.25" customHeight="1">
      <c r="A312" s="108"/>
      <c r="B312" s="108"/>
      <c r="C312" s="123"/>
      <c r="D312" s="123"/>
      <c r="E312" s="124"/>
      <c r="F312" s="109"/>
      <c r="G312" s="109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spans="1:26" ht="11.25" customHeight="1">
      <c r="A313" s="108"/>
      <c r="B313" s="108"/>
      <c r="C313" s="123"/>
      <c r="D313" s="123"/>
      <c r="E313" s="124"/>
      <c r="F313" s="109"/>
      <c r="G313" s="109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spans="1:26" ht="11.25" customHeight="1">
      <c r="A314" s="108"/>
      <c r="B314" s="108"/>
      <c r="C314" s="123"/>
      <c r="D314" s="123"/>
      <c r="E314" s="124"/>
      <c r="F314" s="109"/>
      <c r="G314" s="109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spans="1:26" ht="11.25" customHeight="1">
      <c r="A315" s="108"/>
      <c r="B315" s="108"/>
      <c r="C315" s="123"/>
      <c r="D315" s="123"/>
      <c r="E315" s="124"/>
      <c r="F315" s="109"/>
      <c r="G315" s="109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spans="1:26" ht="11.25" customHeight="1">
      <c r="A316" s="108"/>
      <c r="B316" s="108"/>
      <c r="C316" s="123"/>
      <c r="D316" s="123"/>
      <c r="E316" s="124"/>
      <c r="F316" s="109"/>
      <c r="G316" s="109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spans="1:26" ht="11.25" customHeight="1">
      <c r="A317" s="108"/>
      <c r="B317" s="108"/>
      <c r="C317" s="123"/>
      <c r="D317" s="123"/>
      <c r="E317" s="124"/>
      <c r="F317" s="109"/>
      <c r="G317" s="109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spans="1:26" ht="11.25" customHeight="1">
      <c r="A318" s="108"/>
      <c r="B318" s="108"/>
      <c r="C318" s="123"/>
      <c r="D318" s="123"/>
      <c r="E318" s="124"/>
      <c r="F318" s="109"/>
      <c r="G318" s="109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spans="1:26" ht="11.25" customHeight="1">
      <c r="A319" s="108"/>
      <c r="B319" s="108"/>
      <c r="C319" s="123"/>
      <c r="D319" s="123"/>
      <c r="E319" s="124"/>
      <c r="F319" s="109"/>
      <c r="G319" s="109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spans="1:26" ht="11.25" customHeight="1">
      <c r="A320" s="108"/>
      <c r="B320" s="108"/>
      <c r="C320" s="123"/>
      <c r="D320" s="123"/>
      <c r="E320" s="124"/>
      <c r="F320" s="109"/>
      <c r="G320" s="109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spans="1:26" ht="11.25" customHeight="1">
      <c r="A321" s="108"/>
      <c r="B321" s="108"/>
      <c r="C321" s="123"/>
      <c r="D321" s="123"/>
      <c r="E321" s="124"/>
      <c r="F321" s="109"/>
      <c r="G321" s="109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spans="1:26" ht="11.25" customHeight="1">
      <c r="A322" s="108"/>
      <c r="B322" s="108"/>
      <c r="C322" s="123"/>
      <c r="D322" s="123"/>
      <c r="E322" s="124"/>
      <c r="F322" s="109"/>
      <c r="G322" s="109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spans="1:26" ht="11.25" customHeight="1">
      <c r="A323" s="108"/>
      <c r="B323" s="108"/>
      <c r="C323" s="123"/>
      <c r="D323" s="123"/>
      <c r="E323" s="124"/>
      <c r="F323" s="109"/>
      <c r="G323" s="109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spans="1:26" ht="11.25" customHeight="1">
      <c r="A324" s="108"/>
      <c r="B324" s="108"/>
      <c r="C324" s="123"/>
      <c r="D324" s="123"/>
      <c r="E324" s="124"/>
      <c r="F324" s="109"/>
      <c r="G324" s="109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spans="1:26" ht="11.25" customHeight="1">
      <c r="A325" s="108"/>
      <c r="B325" s="108"/>
      <c r="C325" s="123"/>
      <c r="D325" s="123"/>
      <c r="E325" s="124"/>
      <c r="F325" s="109"/>
      <c r="G325" s="109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spans="1:26" ht="11.25" customHeight="1">
      <c r="A326" s="108"/>
      <c r="B326" s="108"/>
      <c r="C326" s="123"/>
      <c r="D326" s="123"/>
      <c r="E326" s="124"/>
      <c r="F326" s="109"/>
      <c r="G326" s="109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spans="1:26" ht="11.25" customHeight="1">
      <c r="A327" s="108"/>
      <c r="B327" s="108"/>
      <c r="C327" s="123"/>
      <c r="D327" s="123"/>
      <c r="E327" s="124"/>
      <c r="F327" s="109"/>
      <c r="G327" s="109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spans="1:26" ht="11.25" customHeight="1">
      <c r="A328" s="108"/>
      <c r="B328" s="108"/>
      <c r="C328" s="123"/>
      <c r="D328" s="123"/>
      <c r="E328" s="124"/>
      <c r="F328" s="109"/>
      <c r="G328" s="109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spans="1:26" ht="11.25" customHeight="1">
      <c r="A329" s="108"/>
      <c r="B329" s="108"/>
      <c r="C329" s="123"/>
      <c r="D329" s="123"/>
      <c r="E329" s="124"/>
      <c r="F329" s="109"/>
      <c r="G329" s="109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spans="1:26" ht="11.25" customHeight="1">
      <c r="A330" s="108"/>
      <c r="B330" s="108"/>
      <c r="C330" s="123"/>
      <c r="D330" s="123"/>
      <c r="E330" s="124"/>
      <c r="F330" s="109"/>
      <c r="G330" s="109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spans="1:26" ht="11.25" customHeight="1">
      <c r="A331" s="108"/>
      <c r="B331" s="108"/>
      <c r="C331" s="123"/>
      <c r="D331" s="123"/>
      <c r="E331" s="124"/>
      <c r="F331" s="109"/>
      <c r="G331" s="109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spans="1:26" ht="11.25" customHeight="1">
      <c r="A332" s="108"/>
      <c r="B332" s="108"/>
      <c r="C332" s="123"/>
      <c r="D332" s="123"/>
      <c r="E332" s="124"/>
      <c r="F332" s="109"/>
      <c r="G332" s="109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spans="1:26" ht="11.25" customHeight="1">
      <c r="A333" s="108"/>
      <c r="B333" s="108"/>
      <c r="C333" s="123"/>
      <c r="D333" s="123"/>
      <c r="E333" s="124"/>
      <c r="F333" s="109"/>
      <c r="G333" s="109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spans="1:26" ht="11.25" customHeight="1">
      <c r="A334" s="108"/>
      <c r="B334" s="108"/>
      <c r="C334" s="123"/>
      <c r="D334" s="123"/>
      <c r="E334" s="124"/>
      <c r="F334" s="109"/>
      <c r="G334" s="109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spans="1:26" ht="11.25" customHeight="1">
      <c r="A335" s="108"/>
      <c r="B335" s="108"/>
      <c r="C335" s="123"/>
      <c r="D335" s="123"/>
      <c r="E335" s="124"/>
      <c r="F335" s="109"/>
      <c r="G335" s="109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spans="1:26" ht="11.25" customHeight="1">
      <c r="A336" s="108"/>
      <c r="B336" s="108"/>
      <c r="C336" s="123"/>
      <c r="D336" s="123"/>
      <c r="E336" s="124"/>
      <c r="F336" s="109"/>
      <c r="G336" s="109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spans="1:26" ht="11.25" customHeight="1">
      <c r="A337" s="108"/>
      <c r="B337" s="108"/>
      <c r="C337" s="123"/>
      <c r="D337" s="123"/>
      <c r="E337" s="124"/>
      <c r="F337" s="109"/>
      <c r="G337" s="109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spans="1:26" ht="11.25" customHeight="1">
      <c r="A338" s="108"/>
      <c r="B338" s="108"/>
      <c r="C338" s="123"/>
      <c r="D338" s="123"/>
      <c r="E338" s="124"/>
      <c r="F338" s="109"/>
      <c r="G338" s="109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spans="1:26" ht="11.25" customHeight="1">
      <c r="A339" s="108"/>
      <c r="B339" s="108"/>
      <c r="C339" s="123"/>
      <c r="D339" s="123"/>
      <c r="E339" s="124"/>
      <c r="F339" s="109"/>
      <c r="G339" s="109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spans="1:26" ht="11.25" customHeight="1">
      <c r="A340" s="108"/>
      <c r="B340" s="108"/>
      <c r="C340" s="123"/>
      <c r="D340" s="123"/>
      <c r="E340" s="124"/>
      <c r="F340" s="109"/>
      <c r="G340" s="109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spans="1:26" ht="11.25" customHeight="1">
      <c r="A341" s="108"/>
      <c r="B341" s="108"/>
      <c r="C341" s="123"/>
      <c r="D341" s="123"/>
      <c r="E341" s="124"/>
      <c r="F341" s="109"/>
      <c r="G341" s="109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spans="1:26" ht="11.25" customHeight="1">
      <c r="A342" s="108"/>
      <c r="B342" s="108"/>
      <c r="C342" s="123"/>
      <c r="D342" s="123"/>
      <c r="E342" s="124"/>
      <c r="F342" s="109"/>
      <c r="G342" s="109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spans="1:26" ht="11.25" customHeight="1">
      <c r="A343" s="108"/>
      <c r="B343" s="108"/>
      <c r="C343" s="123"/>
      <c r="D343" s="123"/>
      <c r="E343" s="124"/>
      <c r="F343" s="109"/>
      <c r="G343" s="109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spans="1:26" ht="11.25" customHeight="1">
      <c r="A344" s="108"/>
      <c r="B344" s="108"/>
      <c r="C344" s="123"/>
      <c r="D344" s="123"/>
      <c r="E344" s="124"/>
      <c r="F344" s="109"/>
      <c r="G344" s="109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spans="1:26" ht="11.25" customHeight="1">
      <c r="A345" s="108"/>
      <c r="B345" s="108"/>
      <c r="C345" s="123"/>
      <c r="D345" s="123"/>
      <c r="E345" s="124"/>
      <c r="F345" s="109"/>
      <c r="G345" s="109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spans="1:26" ht="11.25" customHeight="1">
      <c r="A346" s="108"/>
      <c r="B346" s="108"/>
      <c r="C346" s="123"/>
      <c r="D346" s="123"/>
      <c r="E346" s="124"/>
      <c r="F346" s="109"/>
      <c r="G346" s="109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spans="1:26" ht="11.25" customHeight="1">
      <c r="A347" s="108"/>
      <c r="B347" s="108"/>
      <c r="C347" s="123"/>
      <c r="D347" s="123"/>
      <c r="E347" s="124"/>
      <c r="F347" s="109"/>
      <c r="G347" s="109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spans="1:26" ht="11.25" customHeight="1">
      <c r="A348" s="108"/>
      <c r="B348" s="108"/>
      <c r="C348" s="123"/>
      <c r="D348" s="123"/>
      <c r="E348" s="124"/>
      <c r="F348" s="109"/>
      <c r="G348" s="109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spans="1:26" ht="11.25" customHeight="1">
      <c r="A349" s="108"/>
      <c r="B349" s="108"/>
      <c r="C349" s="123"/>
      <c r="D349" s="123"/>
      <c r="E349" s="124"/>
      <c r="F349" s="109"/>
      <c r="G349" s="109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spans="1:26" ht="11.25" customHeight="1">
      <c r="A350" s="108"/>
      <c r="B350" s="108"/>
      <c r="C350" s="123"/>
      <c r="D350" s="123"/>
      <c r="E350" s="124"/>
      <c r="F350" s="109"/>
      <c r="G350" s="109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spans="1:26" ht="11.25" customHeight="1">
      <c r="A351" s="108"/>
      <c r="B351" s="108"/>
      <c r="C351" s="123"/>
      <c r="D351" s="123"/>
      <c r="E351" s="124"/>
      <c r="F351" s="109"/>
      <c r="G351" s="109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spans="1:26" ht="11.25" customHeight="1">
      <c r="A352" s="108"/>
      <c r="B352" s="108"/>
      <c r="C352" s="123"/>
      <c r="D352" s="123"/>
      <c r="E352" s="124"/>
      <c r="F352" s="109"/>
      <c r="G352" s="109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spans="1:26" ht="11.25" customHeight="1">
      <c r="A353" s="108"/>
      <c r="B353" s="108"/>
      <c r="C353" s="123"/>
      <c r="D353" s="123"/>
      <c r="E353" s="124"/>
      <c r="F353" s="109"/>
      <c r="G353" s="109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spans="1:26" ht="11.25" customHeight="1">
      <c r="A354" s="108"/>
      <c r="B354" s="108"/>
      <c r="C354" s="123"/>
      <c r="D354" s="123"/>
      <c r="E354" s="124"/>
      <c r="F354" s="109"/>
      <c r="G354" s="109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spans="1:26" ht="11.25" customHeight="1">
      <c r="A355" s="108"/>
      <c r="B355" s="108"/>
      <c r="C355" s="123"/>
      <c r="D355" s="123"/>
      <c r="E355" s="124"/>
      <c r="F355" s="109"/>
      <c r="G355" s="109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spans="1:26" ht="11.25" customHeight="1">
      <c r="A356" s="108"/>
      <c r="B356" s="108"/>
      <c r="C356" s="123"/>
      <c r="D356" s="123"/>
      <c r="E356" s="124"/>
      <c r="F356" s="109"/>
      <c r="G356" s="109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spans="1:26" ht="11.25" customHeight="1">
      <c r="A357" s="108"/>
      <c r="B357" s="108"/>
      <c r="C357" s="123"/>
      <c r="D357" s="123"/>
      <c r="E357" s="124"/>
      <c r="F357" s="109"/>
      <c r="G357" s="109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spans="1:26" ht="11.25" customHeight="1">
      <c r="A358" s="108"/>
      <c r="B358" s="108"/>
      <c r="C358" s="123"/>
      <c r="D358" s="123"/>
      <c r="E358" s="124"/>
      <c r="F358" s="109"/>
      <c r="G358" s="109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spans="1:26" ht="11.25" customHeight="1">
      <c r="A359" s="108"/>
      <c r="B359" s="108"/>
      <c r="C359" s="123"/>
      <c r="D359" s="123"/>
      <c r="E359" s="124"/>
      <c r="F359" s="109"/>
      <c r="G359" s="109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spans="1:26" ht="11.25" customHeight="1">
      <c r="A360" s="108"/>
      <c r="B360" s="108"/>
      <c r="C360" s="123"/>
      <c r="D360" s="123"/>
      <c r="E360" s="124"/>
      <c r="F360" s="109"/>
      <c r="G360" s="109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spans="1:26" ht="11.25" customHeight="1">
      <c r="A361" s="108"/>
      <c r="B361" s="108"/>
      <c r="C361" s="123"/>
      <c r="D361" s="123"/>
      <c r="E361" s="124"/>
      <c r="F361" s="109"/>
      <c r="G361" s="109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spans="1:26" ht="11.25" customHeight="1">
      <c r="A362" s="108"/>
      <c r="B362" s="108"/>
      <c r="C362" s="123"/>
      <c r="D362" s="123"/>
      <c r="E362" s="124"/>
      <c r="F362" s="109"/>
      <c r="G362" s="109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spans="1:26" ht="11.25" customHeight="1">
      <c r="A363" s="108"/>
      <c r="B363" s="108"/>
      <c r="C363" s="123"/>
      <c r="D363" s="123"/>
      <c r="E363" s="124"/>
      <c r="F363" s="109"/>
      <c r="G363" s="109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spans="1:26" ht="11.25" customHeight="1">
      <c r="A364" s="108"/>
      <c r="B364" s="108"/>
      <c r="C364" s="123"/>
      <c r="D364" s="123"/>
      <c r="E364" s="124"/>
      <c r="F364" s="109"/>
      <c r="G364" s="109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spans="1:26" ht="11.25" customHeight="1">
      <c r="A365" s="108"/>
      <c r="B365" s="108"/>
      <c r="C365" s="123"/>
      <c r="D365" s="123"/>
      <c r="E365" s="124"/>
      <c r="F365" s="109"/>
      <c r="G365" s="109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spans="1:26" ht="11.25" customHeight="1">
      <c r="A366" s="108"/>
      <c r="B366" s="108"/>
      <c r="C366" s="123"/>
      <c r="D366" s="123"/>
      <c r="E366" s="124"/>
      <c r="F366" s="109"/>
      <c r="G366" s="109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spans="1:26" ht="11.25" customHeight="1">
      <c r="A367" s="108"/>
      <c r="B367" s="108"/>
      <c r="C367" s="123"/>
      <c r="D367" s="123"/>
      <c r="E367" s="124"/>
      <c r="F367" s="109"/>
      <c r="G367" s="109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spans="1:26" ht="11.25" customHeight="1">
      <c r="A368" s="108"/>
      <c r="B368" s="108"/>
      <c r="C368" s="123"/>
      <c r="D368" s="123"/>
      <c r="E368" s="124"/>
      <c r="F368" s="109"/>
      <c r="G368" s="109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spans="1:26" ht="11.25" customHeight="1">
      <c r="A369" s="108"/>
      <c r="B369" s="108"/>
      <c r="C369" s="123"/>
      <c r="D369" s="123"/>
      <c r="E369" s="124"/>
      <c r="F369" s="109"/>
      <c r="G369" s="109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spans="1:26" ht="11.25" customHeight="1">
      <c r="A370" s="108"/>
      <c r="B370" s="108"/>
      <c r="C370" s="123"/>
      <c r="D370" s="123"/>
      <c r="E370" s="124"/>
      <c r="F370" s="109"/>
      <c r="G370" s="109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spans="1:26" ht="11.25" customHeight="1">
      <c r="A371" s="108"/>
      <c r="B371" s="108"/>
      <c r="C371" s="123"/>
      <c r="D371" s="123"/>
      <c r="E371" s="124"/>
      <c r="F371" s="109"/>
      <c r="G371" s="109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spans="1:26" ht="11.25" customHeight="1">
      <c r="A372" s="108"/>
      <c r="B372" s="108"/>
      <c r="C372" s="123"/>
      <c r="D372" s="123"/>
      <c r="E372" s="124"/>
      <c r="F372" s="109"/>
      <c r="G372" s="109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spans="1:26" ht="11.25" customHeight="1">
      <c r="A373" s="108"/>
      <c r="B373" s="108"/>
      <c r="C373" s="123"/>
      <c r="D373" s="123"/>
      <c r="E373" s="124"/>
      <c r="F373" s="109"/>
      <c r="G373" s="109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spans="1:26" ht="11.25" customHeight="1">
      <c r="A374" s="108"/>
      <c r="B374" s="108"/>
      <c r="C374" s="123"/>
      <c r="D374" s="123"/>
      <c r="E374" s="124"/>
      <c r="F374" s="109"/>
      <c r="G374" s="109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spans="1:26" ht="11.25" customHeight="1">
      <c r="A375" s="108"/>
      <c r="B375" s="108"/>
      <c r="C375" s="123"/>
      <c r="D375" s="123"/>
      <c r="E375" s="124"/>
      <c r="F375" s="109"/>
      <c r="G375" s="109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spans="1:26" ht="11.25" customHeight="1">
      <c r="A376" s="108"/>
      <c r="B376" s="108"/>
      <c r="C376" s="123"/>
      <c r="D376" s="123"/>
      <c r="E376" s="124"/>
      <c r="F376" s="109"/>
      <c r="G376" s="109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spans="1:26" ht="11.25" customHeight="1">
      <c r="A377" s="108"/>
      <c r="B377" s="108"/>
      <c r="C377" s="123"/>
      <c r="D377" s="123"/>
      <c r="E377" s="124"/>
      <c r="F377" s="109"/>
      <c r="G377" s="109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spans="1:26" ht="11.25" customHeight="1">
      <c r="A378" s="108"/>
      <c r="B378" s="108"/>
      <c r="C378" s="123"/>
      <c r="D378" s="123"/>
      <c r="E378" s="124"/>
      <c r="F378" s="109"/>
      <c r="G378" s="109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spans="1:26" ht="11.25" customHeight="1">
      <c r="A379" s="108"/>
      <c r="B379" s="108"/>
      <c r="C379" s="123"/>
      <c r="D379" s="123"/>
      <c r="E379" s="124"/>
      <c r="F379" s="109"/>
      <c r="G379" s="109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spans="1:26" ht="11.25" customHeight="1">
      <c r="A380" s="108"/>
      <c r="B380" s="108"/>
      <c r="C380" s="123"/>
      <c r="D380" s="123"/>
      <c r="E380" s="124"/>
      <c r="F380" s="109"/>
      <c r="G380" s="109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spans="1:26" ht="11.25" customHeight="1">
      <c r="A381" s="108"/>
      <c r="B381" s="108"/>
      <c r="C381" s="123"/>
      <c r="D381" s="123"/>
      <c r="E381" s="124"/>
      <c r="F381" s="109"/>
      <c r="G381" s="109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spans="1:26" ht="11.25" customHeight="1">
      <c r="A382" s="108"/>
      <c r="B382" s="108"/>
      <c r="C382" s="123"/>
      <c r="D382" s="123"/>
      <c r="E382" s="124"/>
      <c r="F382" s="109"/>
      <c r="G382" s="109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spans="1:26" ht="11.25" customHeight="1">
      <c r="A383" s="108"/>
      <c r="B383" s="108"/>
      <c r="C383" s="123"/>
      <c r="D383" s="123"/>
      <c r="E383" s="124"/>
      <c r="F383" s="109"/>
      <c r="G383" s="109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spans="1:26" ht="11.25" customHeight="1">
      <c r="A384" s="108"/>
      <c r="B384" s="108"/>
      <c r="C384" s="123"/>
      <c r="D384" s="123"/>
      <c r="E384" s="124"/>
      <c r="F384" s="109"/>
      <c r="G384" s="109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spans="1:26" ht="11.25" customHeight="1">
      <c r="A385" s="108"/>
      <c r="B385" s="108"/>
      <c r="C385" s="123"/>
      <c r="D385" s="123"/>
      <c r="E385" s="124"/>
      <c r="F385" s="109"/>
      <c r="G385" s="109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spans="1:26" ht="11.25" customHeight="1">
      <c r="A386" s="108"/>
      <c r="B386" s="108"/>
      <c r="C386" s="123"/>
      <c r="D386" s="123"/>
      <c r="E386" s="124"/>
      <c r="F386" s="109"/>
      <c r="G386" s="109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spans="1:26" ht="11.25" customHeight="1">
      <c r="A387" s="108"/>
      <c r="B387" s="108"/>
      <c r="C387" s="123"/>
      <c r="D387" s="123"/>
      <c r="E387" s="124"/>
      <c r="F387" s="109"/>
      <c r="G387" s="109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spans="1:26" ht="11.25" customHeight="1">
      <c r="A388" s="108"/>
      <c r="B388" s="108"/>
      <c r="C388" s="123"/>
      <c r="D388" s="123"/>
      <c r="E388" s="124"/>
      <c r="F388" s="109"/>
      <c r="G388" s="109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spans="1:26" ht="11.25" customHeight="1">
      <c r="A389" s="108"/>
      <c r="B389" s="108"/>
      <c r="C389" s="123"/>
      <c r="D389" s="123"/>
      <c r="E389" s="124"/>
      <c r="F389" s="109"/>
      <c r="G389" s="109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spans="1:26" ht="11.25" customHeight="1">
      <c r="A390" s="108"/>
      <c r="B390" s="108"/>
      <c r="C390" s="123"/>
      <c r="D390" s="123"/>
      <c r="E390" s="124"/>
      <c r="F390" s="109"/>
      <c r="G390" s="109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spans="1:26" ht="11.25" customHeight="1">
      <c r="A391" s="108"/>
      <c r="B391" s="108"/>
      <c r="C391" s="123"/>
      <c r="D391" s="123"/>
      <c r="E391" s="124"/>
      <c r="F391" s="109"/>
      <c r="G391" s="109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spans="1:26" ht="11.25" customHeight="1">
      <c r="A392" s="108"/>
      <c r="B392" s="108"/>
      <c r="C392" s="123"/>
      <c r="D392" s="123"/>
      <c r="E392" s="124"/>
      <c r="F392" s="109"/>
      <c r="G392" s="109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spans="1:26" ht="11.25" customHeight="1">
      <c r="A393" s="108"/>
      <c r="B393" s="108"/>
      <c r="C393" s="123"/>
      <c r="D393" s="123"/>
      <c r="E393" s="124"/>
      <c r="F393" s="109"/>
      <c r="G393" s="109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spans="1:26" ht="11.25" customHeight="1">
      <c r="A394" s="108"/>
      <c r="B394" s="108"/>
      <c r="C394" s="123"/>
      <c r="D394" s="123"/>
      <c r="E394" s="124"/>
      <c r="F394" s="109"/>
      <c r="G394" s="109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spans="1:26" ht="11.25" customHeight="1">
      <c r="A395" s="108"/>
      <c r="B395" s="108"/>
      <c r="C395" s="123"/>
      <c r="D395" s="123"/>
      <c r="E395" s="124"/>
      <c r="F395" s="109"/>
      <c r="G395" s="109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spans="1:26" ht="11.25" customHeight="1">
      <c r="A396" s="108"/>
      <c r="B396" s="108"/>
      <c r="C396" s="123"/>
      <c r="D396" s="123"/>
      <c r="E396" s="124"/>
      <c r="F396" s="109"/>
      <c r="G396" s="109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spans="1:26" ht="11.25" customHeight="1">
      <c r="A397" s="108"/>
      <c r="B397" s="108"/>
      <c r="C397" s="123"/>
      <c r="D397" s="123"/>
      <c r="E397" s="124"/>
      <c r="F397" s="109"/>
      <c r="G397" s="109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spans="1:26" ht="11.25" customHeight="1">
      <c r="A398" s="108"/>
      <c r="B398" s="108"/>
      <c r="C398" s="123"/>
      <c r="D398" s="123"/>
      <c r="E398" s="124"/>
      <c r="F398" s="109"/>
      <c r="G398" s="109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spans="1:26" ht="11.25" customHeight="1">
      <c r="A399" s="108"/>
      <c r="B399" s="108"/>
      <c r="C399" s="123"/>
      <c r="D399" s="123"/>
      <c r="E399" s="124"/>
      <c r="F399" s="109"/>
      <c r="G399" s="109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spans="1:26" ht="11.25" customHeight="1">
      <c r="A400" s="108"/>
      <c r="B400" s="108"/>
      <c r="C400" s="123"/>
      <c r="D400" s="123"/>
      <c r="E400" s="124"/>
      <c r="F400" s="109"/>
      <c r="G400" s="109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spans="1:26" ht="11.25" customHeight="1">
      <c r="A401" s="108"/>
      <c r="B401" s="108"/>
      <c r="C401" s="123"/>
      <c r="D401" s="123"/>
      <c r="E401" s="124"/>
      <c r="F401" s="109"/>
      <c r="G401" s="109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spans="1:26" ht="11.25" customHeight="1">
      <c r="A402" s="108"/>
      <c r="B402" s="108"/>
      <c r="C402" s="123"/>
      <c r="D402" s="123"/>
      <c r="E402" s="124"/>
      <c r="F402" s="109"/>
      <c r="G402" s="109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spans="1:26" ht="11.25" customHeight="1">
      <c r="A403" s="108"/>
      <c r="B403" s="108"/>
      <c r="C403" s="123"/>
      <c r="D403" s="123"/>
      <c r="E403" s="124"/>
      <c r="F403" s="109"/>
      <c r="G403" s="109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spans="1:26" ht="11.25" customHeight="1">
      <c r="A404" s="108"/>
      <c r="B404" s="108"/>
      <c r="C404" s="123"/>
      <c r="D404" s="123"/>
      <c r="E404" s="124"/>
      <c r="F404" s="109"/>
      <c r="G404" s="109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spans="1:26" ht="11.25" customHeight="1">
      <c r="A405" s="108"/>
      <c r="B405" s="108"/>
      <c r="C405" s="123"/>
      <c r="D405" s="123"/>
      <c r="E405" s="124"/>
      <c r="F405" s="109"/>
      <c r="G405" s="109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spans="1:26" ht="11.25" customHeight="1">
      <c r="A406" s="108"/>
      <c r="B406" s="108"/>
      <c r="C406" s="123"/>
      <c r="D406" s="123"/>
      <c r="E406" s="124"/>
      <c r="F406" s="109"/>
      <c r="G406" s="109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spans="1:26" ht="11.25" customHeight="1">
      <c r="A407" s="108"/>
      <c r="B407" s="108"/>
      <c r="C407" s="123"/>
      <c r="D407" s="123"/>
      <c r="E407" s="124"/>
      <c r="F407" s="109"/>
      <c r="G407" s="109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spans="1:26" ht="11.25" customHeight="1">
      <c r="A408" s="108"/>
      <c r="B408" s="108"/>
      <c r="C408" s="123"/>
      <c r="D408" s="123"/>
      <c r="E408" s="124"/>
      <c r="F408" s="109"/>
      <c r="G408" s="109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spans="1:26" ht="11.25" customHeight="1">
      <c r="A409" s="108"/>
      <c r="B409" s="108"/>
      <c r="C409" s="123"/>
      <c r="D409" s="123"/>
      <c r="E409" s="124"/>
      <c r="F409" s="109"/>
      <c r="G409" s="109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spans="1:26" ht="11.25" customHeight="1">
      <c r="A410" s="108"/>
      <c r="B410" s="108"/>
      <c r="C410" s="123"/>
      <c r="D410" s="123"/>
      <c r="E410" s="124"/>
      <c r="F410" s="109"/>
      <c r="G410" s="109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spans="1:26" ht="11.25" customHeight="1">
      <c r="A411" s="108"/>
      <c r="B411" s="108"/>
      <c r="C411" s="123"/>
      <c r="D411" s="123"/>
      <c r="E411" s="124"/>
      <c r="F411" s="109"/>
      <c r="G411" s="109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spans="1:26" ht="11.25" customHeight="1">
      <c r="A412" s="108"/>
      <c r="B412" s="108"/>
      <c r="C412" s="123"/>
      <c r="D412" s="123"/>
      <c r="E412" s="124"/>
      <c r="F412" s="109"/>
      <c r="G412" s="109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spans="1:26" ht="11.25" customHeight="1">
      <c r="A413" s="108"/>
      <c r="B413" s="108"/>
      <c r="C413" s="123"/>
      <c r="D413" s="123"/>
      <c r="E413" s="124"/>
      <c r="F413" s="109"/>
      <c r="G413" s="109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spans="1:26" ht="11.25" customHeight="1">
      <c r="A414" s="108"/>
      <c r="B414" s="108"/>
      <c r="C414" s="123"/>
      <c r="D414" s="123"/>
      <c r="E414" s="124"/>
      <c r="F414" s="109"/>
      <c r="G414" s="109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spans="1:26" ht="11.25" customHeight="1">
      <c r="A415" s="108"/>
      <c r="B415" s="108"/>
      <c r="C415" s="123"/>
      <c r="D415" s="123"/>
      <c r="E415" s="124"/>
      <c r="F415" s="109"/>
      <c r="G415" s="109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spans="1:26" ht="11.25" customHeight="1">
      <c r="A416" s="108"/>
      <c r="B416" s="108"/>
      <c r="C416" s="123"/>
      <c r="D416" s="123"/>
      <c r="E416" s="124"/>
      <c r="F416" s="109"/>
      <c r="G416" s="109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spans="1:26" ht="11.25" customHeight="1">
      <c r="A417" s="108"/>
      <c r="B417" s="108"/>
      <c r="C417" s="123"/>
      <c r="D417" s="123"/>
      <c r="E417" s="124"/>
      <c r="F417" s="109"/>
      <c r="G417" s="109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spans="1:26" ht="11.25" customHeight="1">
      <c r="A418" s="108"/>
      <c r="B418" s="108"/>
      <c r="C418" s="123"/>
      <c r="D418" s="123"/>
      <c r="E418" s="124"/>
      <c r="F418" s="109"/>
      <c r="G418" s="109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spans="1:26" ht="11.25" customHeight="1">
      <c r="A419" s="108"/>
      <c r="B419" s="108"/>
      <c r="C419" s="123"/>
      <c r="D419" s="123"/>
      <c r="E419" s="124"/>
      <c r="F419" s="109"/>
      <c r="G419" s="109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spans="1:26" ht="11.25" customHeight="1">
      <c r="A420" s="108"/>
      <c r="B420" s="108"/>
      <c r="C420" s="123"/>
      <c r="D420" s="123"/>
      <c r="E420" s="124"/>
      <c r="F420" s="109"/>
      <c r="G420" s="109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spans="1:26" ht="11.25" customHeight="1">
      <c r="A421" s="108"/>
      <c r="B421" s="108"/>
      <c r="C421" s="123"/>
      <c r="D421" s="123"/>
      <c r="E421" s="124"/>
      <c r="F421" s="109"/>
      <c r="G421" s="109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spans="1:26" ht="11.25" customHeight="1">
      <c r="A422" s="108"/>
      <c r="B422" s="108"/>
      <c r="C422" s="123"/>
      <c r="D422" s="123"/>
      <c r="E422" s="124"/>
      <c r="F422" s="109"/>
      <c r="G422" s="109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spans="1:26" ht="11.25" customHeight="1">
      <c r="A423" s="108"/>
      <c r="B423" s="108"/>
      <c r="C423" s="123"/>
      <c r="D423" s="123"/>
      <c r="E423" s="124"/>
      <c r="F423" s="109"/>
      <c r="G423" s="109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spans="1:26" ht="11.25" customHeight="1">
      <c r="A424" s="108"/>
      <c r="B424" s="108"/>
      <c r="C424" s="123"/>
      <c r="D424" s="123"/>
      <c r="E424" s="124"/>
      <c r="F424" s="109"/>
      <c r="G424" s="109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spans="1:26" ht="11.25" customHeight="1">
      <c r="A425" s="108"/>
      <c r="B425" s="108"/>
      <c r="C425" s="123"/>
      <c r="D425" s="123"/>
      <c r="E425" s="124"/>
      <c r="F425" s="109"/>
      <c r="G425" s="109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spans="1:26" ht="11.25" customHeight="1">
      <c r="A426" s="108"/>
      <c r="B426" s="108"/>
      <c r="C426" s="123"/>
      <c r="D426" s="123"/>
      <c r="E426" s="124"/>
      <c r="F426" s="109"/>
      <c r="G426" s="109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spans="1:26" ht="11.25" customHeight="1">
      <c r="A427" s="108"/>
      <c r="B427" s="108"/>
      <c r="C427" s="123"/>
      <c r="D427" s="123"/>
      <c r="E427" s="124"/>
      <c r="F427" s="109"/>
      <c r="G427" s="109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spans="1:26" ht="11.25" customHeight="1">
      <c r="A428" s="108"/>
      <c r="B428" s="108"/>
      <c r="C428" s="123"/>
      <c r="D428" s="123"/>
      <c r="E428" s="124"/>
      <c r="F428" s="109"/>
      <c r="G428" s="109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spans="1:26" ht="11.25" customHeight="1">
      <c r="A429" s="108"/>
      <c r="B429" s="108"/>
      <c r="C429" s="123"/>
      <c r="D429" s="123"/>
      <c r="E429" s="124"/>
      <c r="F429" s="109"/>
      <c r="G429" s="109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spans="1:26" ht="11.25" customHeight="1">
      <c r="A430" s="108"/>
      <c r="B430" s="108"/>
      <c r="C430" s="123"/>
      <c r="D430" s="123"/>
      <c r="E430" s="124"/>
      <c r="F430" s="109"/>
      <c r="G430" s="109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spans="1:26" ht="11.25" customHeight="1">
      <c r="A431" s="108"/>
      <c r="B431" s="108"/>
      <c r="C431" s="123"/>
      <c r="D431" s="123"/>
      <c r="E431" s="124"/>
      <c r="F431" s="109"/>
      <c r="G431" s="109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spans="1:26" ht="11.25" customHeight="1">
      <c r="A432" s="108"/>
      <c r="B432" s="108"/>
      <c r="C432" s="123"/>
      <c r="D432" s="123"/>
      <c r="E432" s="124"/>
      <c r="F432" s="109"/>
      <c r="G432" s="109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spans="1:26" ht="11.25" customHeight="1">
      <c r="A433" s="108"/>
      <c r="B433" s="108"/>
      <c r="C433" s="123"/>
      <c r="D433" s="123"/>
      <c r="E433" s="124"/>
      <c r="F433" s="109"/>
      <c r="G433" s="109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spans="1:26" ht="11.25" customHeight="1">
      <c r="A434" s="108"/>
      <c r="B434" s="108"/>
      <c r="C434" s="123"/>
      <c r="D434" s="123"/>
      <c r="E434" s="124"/>
      <c r="F434" s="109"/>
      <c r="G434" s="109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spans="1:26" ht="11.25" customHeight="1">
      <c r="A435" s="108"/>
      <c r="B435" s="108"/>
      <c r="C435" s="123"/>
      <c r="D435" s="123"/>
      <c r="E435" s="124"/>
      <c r="F435" s="109"/>
      <c r="G435" s="109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spans="1:26" ht="11.25" customHeight="1">
      <c r="A436" s="108"/>
      <c r="B436" s="108"/>
      <c r="C436" s="123"/>
      <c r="D436" s="123"/>
      <c r="E436" s="124"/>
      <c r="F436" s="109"/>
      <c r="G436" s="109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spans="1:26" ht="11.25" customHeight="1">
      <c r="A437" s="108"/>
      <c r="B437" s="108"/>
      <c r="C437" s="123"/>
      <c r="D437" s="123"/>
      <c r="E437" s="124"/>
      <c r="F437" s="109"/>
      <c r="G437" s="109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spans="1:26" ht="11.25" customHeight="1">
      <c r="A438" s="108"/>
      <c r="B438" s="108"/>
      <c r="C438" s="123"/>
      <c r="D438" s="123"/>
      <c r="E438" s="124"/>
      <c r="F438" s="109"/>
      <c r="G438" s="109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spans="1:26" ht="11.25" customHeight="1">
      <c r="A439" s="108"/>
      <c r="B439" s="108"/>
      <c r="C439" s="123"/>
      <c r="D439" s="123"/>
      <c r="E439" s="124"/>
      <c r="F439" s="109"/>
      <c r="G439" s="109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spans="1:26" ht="11.25" customHeight="1">
      <c r="A440" s="108"/>
      <c r="B440" s="108"/>
      <c r="C440" s="123"/>
      <c r="D440" s="123"/>
      <c r="E440" s="124"/>
      <c r="F440" s="109"/>
      <c r="G440" s="109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spans="1:26" ht="11.25" customHeight="1">
      <c r="A441" s="108"/>
      <c r="B441" s="108"/>
      <c r="C441" s="123"/>
      <c r="D441" s="123"/>
      <c r="E441" s="124"/>
      <c r="F441" s="109"/>
      <c r="G441" s="109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spans="1:26" ht="11.25" customHeight="1">
      <c r="A442" s="108"/>
      <c r="B442" s="108"/>
      <c r="C442" s="123"/>
      <c r="D442" s="123"/>
      <c r="E442" s="124"/>
      <c r="F442" s="109"/>
      <c r="G442" s="109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spans="1:26" ht="11.25" customHeight="1">
      <c r="A443" s="108"/>
      <c r="B443" s="108"/>
      <c r="C443" s="123"/>
      <c r="D443" s="123"/>
      <c r="E443" s="124"/>
      <c r="F443" s="109"/>
      <c r="G443" s="109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spans="1:26" ht="11.25" customHeight="1">
      <c r="A444" s="108"/>
      <c r="B444" s="108"/>
      <c r="C444" s="123"/>
      <c r="D444" s="123"/>
      <c r="E444" s="124"/>
      <c r="F444" s="109"/>
      <c r="G444" s="109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spans="1:26" ht="11.25" customHeight="1">
      <c r="A445" s="108"/>
      <c r="B445" s="108"/>
      <c r="C445" s="123"/>
      <c r="D445" s="123"/>
      <c r="E445" s="124"/>
      <c r="F445" s="109"/>
      <c r="G445" s="109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spans="1:26" ht="11.25" customHeight="1">
      <c r="A446" s="108"/>
      <c r="B446" s="108"/>
      <c r="C446" s="123"/>
      <c r="D446" s="123"/>
      <c r="E446" s="124"/>
      <c r="F446" s="109"/>
      <c r="G446" s="109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spans="1:26" ht="11.25" customHeight="1">
      <c r="A447" s="108"/>
      <c r="B447" s="108"/>
      <c r="C447" s="123"/>
      <c r="D447" s="123"/>
      <c r="E447" s="124"/>
      <c r="F447" s="109"/>
      <c r="G447" s="109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spans="1:26" ht="11.25" customHeight="1">
      <c r="A448" s="108"/>
      <c r="B448" s="108"/>
      <c r="C448" s="123"/>
      <c r="D448" s="123"/>
      <c r="E448" s="124"/>
      <c r="F448" s="109"/>
      <c r="G448" s="109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spans="1:26" ht="11.25" customHeight="1">
      <c r="A449" s="108"/>
      <c r="B449" s="108"/>
      <c r="C449" s="123"/>
      <c r="D449" s="123"/>
      <c r="E449" s="124"/>
      <c r="F449" s="109"/>
      <c r="G449" s="109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spans="1:26" ht="11.25" customHeight="1">
      <c r="A450" s="108"/>
      <c r="B450" s="108"/>
      <c r="C450" s="123"/>
      <c r="D450" s="123"/>
      <c r="E450" s="124"/>
      <c r="F450" s="109"/>
      <c r="G450" s="109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spans="1:26" ht="11.25" customHeight="1">
      <c r="A451" s="108"/>
      <c r="B451" s="108"/>
      <c r="C451" s="123"/>
      <c r="D451" s="123"/>
      <c r="E451" s="124"/>
      <c r="F451" s="109"/>
      <c r="G451" s="109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spans="1:26" ht="11.25" customHeight="1">
      <c r="A452" s="108"/>
      <c r="B452" s="108"/>
      <c r="C452" s="123"/>
      <c r="D452" s="123"/>
      <c r="E452" s="124"/>
      <c r="F452" s="109"/>
      <c r="G452" s="109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spans="1:26" ht="11.25" customHeight="1">
      <c r="A453" s="108"/>
      <c r="B453" s="108"/>
      <c r="C453" s="123"/>
      <c r="D453" s="123"/>
      <c r="E453" s="124"/>
      <c r="F453" s="109"/>
      <c r="G453" s="109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spans="1:26" ht="11.25" customHeight="1">
      <c r="A454" s="108"/>
      <c r="B454" s="108"/>
      <c r="C454" s="123"/>
      <c r="D454" s="123"/>
      <c r="E454" s="124"/>
      <c r="F454" s="109"/>
      <c r="G454" s="109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spans="1:26" ht="11.25" customHeight="1">
      <c r="A455" s="108"/>
      <c r="B455" s="108"/>
      <c r="C455" s="123"/>
      <c r="D455" s="123"/>
      <c r="E455" s="124"/>
      <c r="F455" s="109"/>
      <c r="G455" s="109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spans="1:26" ht="11.25" customHeight="1">
      <c r="A456" s="108"/>
      <c r="B456" s="108"/>
      <c r="C456" s="123"/>
      <c r="D456" s="123"/>
      <c r="E456" s="124"/>
      <c r="F456" s="109"/>
      <c r="G456" s="109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spans="1:26" ht="11.25" customHeight="1">
      <c r="A457" s="108"/>
      <c r="B457" s="108"/>
      <c r="C457" s="123"/>
      <c r="D457" s="123"/>
      <c r="E457" s="124"/>
      <c r="F457" s="109"/>
      <c r="G457" s="109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spans="1:26" ht="11.25" customHeight="1">
      <c r="A458" s="108"/>
      <c r="B458" s="108"/>
      <c r="C458" s="123"/>
      <c r="D458" s="123"/>
      <c r="E458" s="124"/>
      <c r="F458" s="109"/>
      <c r="G458" s="109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spans="1:26" ht="11.25" customHeight="1">
      <c r="A459" s="108"/>
      <c r="B459" s="108"/>
      <c r="C459" s="123"/>
      <c r="D459" s="123"/>
      <c r="E459" s="124"/>
      <c r="F459" s="109"/>
      <c r="G459" s="109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spans="1:26" ht="11.25" customHeight="1">
      <c r="A460" s="108"/>
      <c r="B460" s="108"/>
      <c r="C460" s="123"/>
      <c r="D460" s="123"/>
      <c r="E460" s="124"/>
      <c r="F460" s="109"/>
      <c r="G460" s="109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spans="1:26" ht="11.25" customHeight="1">
      <c r="A461" s="108"/>
      <c r="B461" s="108"/>
      <c r="C461" s="123"/>
      <c r="D461" s="123"/>
      <c r="E461" s="124"/>
      <c r="F461" s="109"/>
      <c r="G461" s="109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spans="1:26" ht="11.25" customHeight="1">
      <c r="A462" s="108"/>
      <c r="B462" s="108"/>
      <c r="C462" s="123"/>
      <c r="D462" s="123"/>
      <c r="E462" s="124"/>
      <c r="F462" s="109"/>
      <c r="G462" s="109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spans="1:26" ht="11.25" customHeight="1">
      <c r="A463" s="108"/>
      <c r="B463" s="108"/>
      <c r="C463" s="123"/>
      <c r="D463" s="123"/>
      <c r="E463" s="124"/>
      <c r="F463" s="109"/>
      <c r="G463" s="109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spans="1:26" ht="11.25" customHeight="1">
      <c r="A464" s="108"/>
      <c r="B464" s="108"/>
      <c r="C464" s="123"/>
      <c r="D464" s="123"/>
      <c r="E464" s="124"/>
      <c r="F464" s="109"/>
      <c r="G464" s="109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spans="1:26" ht="11.25" customHeight="1">
      <c r="A465" s="108"/>
      <c r="B465" s="108"/>
      <c r="C465" s="123"/>
      <c r="D465" s="123"/>
      <c r="E465" s="124"/>
      <c r="F465" s="109"/>
      <c r="G465" s="109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spans="1:26" ht="11.25" customHeight="1">
      <c r="A466" s="108"/>
      <c r="B466" s="108"/>
      <c r="C466" s="123"/>
      <c r="D466" s="123"/>
      <c r="E466" s="124"/>
      <c r="F466" s="109"/>
      <c r="G466" s="109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spans="1:26" ht="11.25" customHeight="1">
      <c r="A467" s="108"/>
      <c r="B467" s="108"/>
      <c r="C467" s="123"/>
      <c r="D467" s="123"/>
      <c r="E467" s="124"/>
      <c r="F467" s="109"/>
      <c r="G467" s="109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spans="1:26" ht="11.25" customHeight="1">
      <c r="A468" s="108"/>
      <c r="B468" s="108"/>
      <c r="C468" s="123"/>
      <c r="D468" s="123"/>
      <c r="E468" s="124"/>
      <c r="F468" s="109"/>
      <c r="G468" s="109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spans="1:26" ht="11.25" customHeight="1">
      <c r="A469" s="108"/>
      <c r="B469" s="108"/>
      <c r="C469" s="123"/>
      <c r="D469" s="123"/>
      <c r="E469" s="124"/>
      <c r="F469" s="109"/>
      <c r="G469" s="109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spans="1:26" ht="11.25" customHeight="1">
      <c r="A470" s="108"/>
      <c r="B470" s="108"/>
      <c r="C470" s="123"/>
      <c r="D470" s="123"/>
      <c r="E470" s="124"/>
      <c r="F470" s="109"/>
      <c r="G470" s="109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spans="1:26" ht="11.25" customHeight="1">
      <c r="A471" s="108"/>
      <c r="B471" s="108"/>
      <c r="C471" s="123"/>
      <c r="D471" s="123"/>
      <c r="E471" s="124"/>
      <c r="F471" s="109"/>
      <c r="G471" s="109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spans="1:26" ht="11.25" customHeight="1">
      <c r="A472" s="108"/>
      <c r="B472" s="108"/>
      <c r="C472" s="123"/>
      <c r="D472" s="123"/>
      <c r="E472" s="124"/>
      <c r="F472" s="109"/>
      <c r="G472" s="109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spans="1:26" ht="11.25" customHeight="1">
      <c r="A473" s="108"/>
      <c r="B473" s="108"/>
      <c r="C473" s="123"/>
      <c r="D473" s="123"/>
      <c r="E473" s="124"/>
      <c r="F473" s="109"/>
      <c r="G473" s="109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spans="1:26" ht="11.25" customHeight="1">
      <c r="A474" s="108"/>
      <c r="B474" s="108"/>
      <c r="C474" s="123"/>
      <c r="D474" s="123"/>
      <c r="E474" s="124"/>
      <c r="F474" s="109"/>
      <c r="G474" s="109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spans="1:26" ht="11.25" customHeight="1">
      <c r="A475" s="108"/>
      <c r="B475" s="108"/>
      <c r="C475" s="123"/>
      <c r="D475" s="123"/>
      <c r="E475" s="124"/>
      <c r="F475" s="109"/>
      <c r="G475" s="109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spans="1:26" ht="11.25" customHeight="1">
      <c r="A476" s="108"/>
      <c r="B476" s="108"/>
      <c r="C476" s="123"/>
      <c r="D476" s="123"/>
      <c r="E476" s="124"/>
      <c r="F476" s="109"/>
      <c r="G476" s="109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spans="1:26" ht="11.25" customHeight="1">
      <c r="A477" s="108"/>
      <c r="B477" s="108"/>
      <c r="C477" s="123"/>
      <c r="D477" s="123"/>
      <c r="E477" s="124"/>
      <c r="F477" s="109"/>
      <c r="G477" s="109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spans="1:26" ht="11.25" customHeight="1">
      <c r="A478" s="108"/>
      <c r="B478" s="108"/>
      <c r="C478" s="123"/>
      <c r="D478" s="123"/>
      <c r="E478" s="124"/>
      <c r="F478" s="109"/>
      <c r="G478" s="109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spans="1:26" ht="11.25" customHeight="1">
      <c r="A479" s="108"/>
      <c r="B479" s="108"/>
      <c r="C479" s="123"/>
      <c r="D479" s="123"/>
      <c r="E479" s="124"/>
      <c r="F479" s="109"/>
      <c r="G479" s="109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spans="1:26" ht="11.25" customHeight="1">
      <c r="A480" s="108"/>
      <c r="B480" s="108"/>
      <c r="C480" s="123"/>
      <c r="D480" s="123"/>
      <c r="E480" s="124"/>
      <c r="F480" s="109"/>
      <c r="G480" s="109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spans="1:26" ht="11.25" customHeight="1">
      <c r="A481" s="108"/>
      <c r="B481" s="108"/>
      <c r="C481" s="123"/>
      <c r="D481" s="123"/>
      <c r="E481" s="124"/>
      <c r="F481" s="109"/>
      <c r="G481" s="109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spans="1:26" ht="11.25" customHeight="1">
      <c r="A482" s="108"/>
      <c r="B482" s="108"/>
      <c r="C482" s="123"/>
      <c r="D482" s="123"/>
      <c r="E482" s="124"/>
      <c r="F482" s="109"/>
      <c r="G482" s="109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spans="1:26" ht="11.25" customHeight="1">
      <c r="A483" s="108"/>
      <c r="B483" s="108"/>
      <c r="C483" s="123"/>
      <c r="D483" s="123"/>
      <c r="E483" s="124"/>
      <c r="F483" s="109"/>
      <c r="G483" s="109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spans="1:26" ht="11.25" customHeight="1">
      <c r="A484" s="108"/>
      <c r="B484" s="108"/>
      <c r="C484" s="123"/>
      <c r="D484" s="123"/>
      <c r="E484" s="124"/>
      <c r="F484" s="109"/>
      <c r="G484" s="109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spans="1:26" ht="11.25" customHeight="1">
      <c r="A485" s="108"/>
      <c r="B485" s="108"/>
      <c r="C485" s="123"/>
      <c r="D485" s="123"/>
      <c r="E485" s="124"/>
      <c r="F485" s="109"/>
      <c r="G485" s="109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spans="1:26" ht="11.25" customHeight="1">
      <c r="A486" s="108"/>
      <c r="B486" s="108"/>
      <c r="C486" s="123"/>
      <c r="D486" s="123"/>
      <c r="E486" s="124"/>
      <c r="F486" s="109"/>
      <c r="G486" s="109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spans="1:26" ht="11.25" customHeight="1">
      <c r="A487" s="108"/>
      <c r="B487" s="108"/>
      <c r="C487" s="123"/>
      <c r="D487" s="123"/>
      <c r="E487" s="124"/>
      <c r="F487" s="109"/>
      <c r="G487" s="109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spans="1:26" ht="11.25" customHeight="1">
      <c r="A488" s="108"/>
      <c r="B488" s="108"/>
      <c r="C488" s="123"/>
      <c r="D488" s="123"/>
      <c r="E488" s="124"/>
      <c r="F488" s="109"/>
      <c r="G488" s="109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spans="1:26" ht="11.25" customHeight="1">
      <c r="A489" s="108"/>
      <c r="B489" s="108"/>
      <c r="C489" s="123"/>
      <c r="D489" s="123"/>
      <c r="E489" s="124"/>
      <c r="F489" s="109"/>
      <c r="G489" s="109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spans="1:26" ht="11.25" customHeight="1">
      <c r="A490" s="108"/>
      <c r="B490" s="108"/>
      <c r="C490" s="123"/>
      <c r="D490" s="123"/>
      <c r="E490" s="124"/>
      <c r="F490" s="109"/>
      <c r="G490" s="109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spans="1:26" ht="11.25" customHeight="1">
      <c r="A491" s="108"/>
      <c r="B491" s="108"/>
      <c r="C491" s="123"/>
      <c r="D491" s="123"/>
      <c r="E491" s="124"/>
      <c r="F491" s="109"/>
      <c r="G491" s="109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spans="1:26" ht="11.25" customHeight="1">
      <c r="A492" s="108"/>
      <c r="B492" s="108"/>
      <c r="C492" s="123"/>
      <c r="D492" s="123"/>
      <c r="E492" s="124"/>
      <c r="F492" s="109"/>
      <c r="G492" s="109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spans="1:26" ht="11.25" customHeight="1">
      <c r="A493" s="108"/>
      <c r="B493" s="108"/>
      <c r="C493" s="123"/>
      <c r="D493" s="123"/>
      <c r="E493" s="124"/>
      <c r="F493" s="109"/>
      <c r="G493" s="109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spans="1:26" ht="11.25" customHeight="1">
      <c r="A494" s="108"/>
      <c r="B494" s="108"/>
      <c r="C494" s="123"/>
      <c r="D494" s="123"/>
      <c r="E494" s="124"/>
      <c r="F494" s="109"/>
      <c r="G494" s="109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spans="1:26" ht="11.25" customHeight="1">
      <c r="A495" s="108"/>
      <c r="B495" s="108"/>
      <c r="C495" s="123"/>
      <c r="D495" s="123"/>
      <c r="E495" s="124"/>
      <c r="F495" s="109"/>
      <c r="G495" s="109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spans="1:26" ht="11.25" customHeight="1">
      <c r="A496" s="108"/>
      <c r="B496" s="108"/>
      <c r="C496" s="123"/>
      <c r="D496" s="123"/>
      <c r="E496" s="124"/>
      <c r="F496" s="109"/>
      <c r="G496" s="109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spans="1:26" ht="11.25" customHeight="1">
      <c r="A497" s="108"/>
      <c r="B497" s="108"/>
      <c r="C497" s="123"/>
      <c r="D497" s="123"/>
      <c r="E497" s="124"/>
      <c r="F497" s="109"/>
      <c r="G497" s="109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spans="1:26" ht="11.25" customHeight="1">
      <c r="A498" s="108"/>
      <c r="B498" s="108"/>
      <c r="C498" s="123"/>
      <c r="D498" s="123"/>
      <c r="E498" s="124"/>
      <c r="F498" s="109"/>
      <c r="G498" s="109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spans="1:26" ht="11.25" customHeight="1">
      <c r="A499" s="108"/>
      <c r="B499" s="108"/>
      <c r="C499" s="123"/>
      <c r="D499" s="123"/>
      <c r="E499" s="124"/>
      <c r="F499" s="109"/>
      <c r="G499" s="109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spans="1:26" ht="11.25" customHeight="1">
      <c r="A500" s="108"/>
      <c r="B500" s="108"/>
      <c r="C500" s="123"/>
      <c r="D500" s="123"/>
      <c r="E500" s="124"/>
      <c r="F500" s="109"/>
      <c r="G500" s="109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spans="1:26" ht="11.25" customHeight="1">
      <c r="A501" s="108"/>
      <c r="B501" s="108"/>
      <c r="C501" s="123"/>
      <c r="D501" s="123"/>
      <c r="E501" s="124"/>
      <c r="F501" s="109"/>
      <c r="G501" s="109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spans="1:26" ht="11.25" customHeight="1">
      <c r="A502" s="108"/>
      <c r="B502" s="108"/>
      <c r="C502" s="123"/>
      <c r="D502" s="123"/>
      <c r="E502" s="124"/>
      <c r="F502" s="109"/>
      <c r="G502" s="109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spans="1:26" ht="11.25" customHeight="1">
      <c r="A503" s="108"/>
      <c r="B503" s="108"/>
      <c r="C503" s="123"/>
      <c r="D503" s="123"/>
      <c r="E503" s="124"/>
      <c r="F503" s="109"/>
      <c r="G503" s="109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spans="1:26" ht="11.25" customHeight="1">
      <c r="A504" s="108"/>
      <c r="B504" s="108"/>
      <c r="C504" s="123"/>
      <c r="D504" s="123"/>
      <c r="E504" s="124"/>
      <c r="F504" s="109"/>
      <c r="G504" s="109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spans="1:26" ht="11.25" customHeight="1">
      <c r="A505" s="108"/>
      <c r="B505" s="108"/>
      <c r="C505" s="123"/>
      <c r="D505" s="123"/>
      <c r="E505" s="124"/>
      <c r="F505" s="109"/>
      <c r="G505" s="109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spans="1:26" ht="11.25" customHeight="1">
      <c r="A506" s="108"/>
      <c r="B506" s="108"/>
      <c r="C506" s="123"/>
      <c r="D506" s="123"/>
      <c r="E506" s="124"/>
      <c r="F506" s="109"/>
      <c r="G506" s="109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spans="1:26" ht="11.25" customHeight="1">
      <c r="A507" s="108"/>
      <c r="B507" s="108"/>
      <c r="C507" s="123"/>
      <c r="D507" s="123"/>
      <c r="E507" s="124"/>
      <c r="F507" s="109"/>
      <c r="G507" s="109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spans="1:26" ht="11.25" customHeight="1">
      <c r="A508" s="108"/>
      <c r="B508" s="108"/>
      <c r="C508" s="123"/>
      <c r="D508" s="123"/>
      <c r="E508" s="124"/>
      <c r="F508" s="109"/>
      <c r="G508" s="109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spans="1:26" ht="11.25" customHeight="1">
      <c r="A509" s="108"/>
      <c r="B509" s="108"/>
      <c r="C509" s="123"/>
      <c r="D509" s="123"/>
      <c r="E509" s="124"/>
      <c r="F509" s="109"/>
      <c r="G509" s="109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spans="1:26" ht="11.25" customHeight="1">
      <c r="A510" s="108"/>
      <c r="B510" s="108"/>
      <c r="C510" s="123"/>
      <c r="D510" s="123"/>
      <c r="E510" s="124"/>
      <c r="F510" s="109"/>
      <c r="G510" s="109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spans="1:26" ht="11.25" customHeight="1">
      <c r="A511" s="108"/>
      <c r="B511" s="108"/>
      <c r="C511" s="123"/>
      <c r="D511" s="123"/>
      <c r="E511" s="124"/>
      <c r="F511" s="109"/>
      <c r="G511" s="109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spans="1:26" ht="11.25" customHeight="1">
      <c r="A512" s="108"/>
      <c r="B512" s="108"/>
      <c r="C512" s="123"/>
      <c r="D512" s="123"/>
      <c r="E512" s="124"/>
      <c r="F512" s="109"/>
      <c r="G512" s="109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spans="1:26" ht="11.25" customHeight="1">
      <c r="A513" s="108"/>
      <c r="B513" s="108"/>
      <c r="C513" s="123"/>
      <c r="D513" s="123"/>
      <c r="E513" s="124"/>
      <c r="F513" s="109"/>
      <c r="G513" s="109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spans="1:26" ht="11.25" customHeight="1">
      <c r="A514" s="108"/>
      <c r="B514" s="108"/>
      <c r="C514" s="123"/>
      <c r="D514" s="123"/>
      <c r="E514" s="124"/>
      <c r="F514" s="109"/>
      <c r="G514" s="109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spans="1:26" ht="11.25" customHeight="1">
      <c r="A515" s="108"/>
      <c r="B515" s="108"/>
      <c r="C515" s="123"/>
      <c r="D515" s="123"/>
      <c r="E515" s="124"/>
      <c r="F515" s="109"/>
      <c r="G515" s="109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spans="1:26" ht="11.25" customHeight="1">
      <c r="A516" s="108"/>
      <c r="B516" s="108"/>
      <c r="C516" s="123"/>
      <c r="D516" s="123"/>
      <c r="E516" s="124"/>
      <c r="F516" s="109"/>
      <c r="G516" s="109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spans="1:26" ht="11.25" customHeight="1">
      <c r="A517" s="108"/>
      <c r="B517" s="108"/>
      <c r="C517" s="123"/>
      <c r="D517" s="123"/>
      <c r="E517" s="124"/>
      <c r="F517" s="109"/>
      <c r="G517" s="109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spans="1:26" ht="11.25" customHeight="1">
      <c r="A518" s="108"/>
      <c r="B518" s="108"/>
      <c r="C518" s="123"/>
      <c r="D518" s="123"/>
      <c r="E518" s="124"/>
      <c r="F518" s="109"/>
      <c r="G518" s="109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spans="1:26" ht="11.25" customHeight="1">
      <c r="A519" s="108"/>
      <c r="B519" s="108"/>
      <c r="C519" s="123"/>
      <c r="D519" s="123"/>
      <c r="E519" s="124"/>
      <c r="F519" s="109"/>
      <c r="G519" s="109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spans="1:26" ht="11.25" customHeight="1">
      <c r="A520" s="108"/>
      <c r="B520" s="108"/>
      <c r="C520" s="123"/>
      <c r="D520" s="123"/>
      <c r="E520" s="124"/>
      <c r="F520" s="109"/>
      <c r="G520" s="109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spans="1:26" ht="11.25" customHeight="1">
      <c r="A521" s="108"/>
      <c r="B521" s="108"/>
      <c r="C521" s="123"/>
      <c r="D521" s="123"/>
      <c r="E521" s="124"/>
      <c r="F521" s="109"/>
      <c r="G521" s="109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spans="1:26" ht="11.25" customHeight="1">
      <c r="A522" s="108"/>
      <c r="B522" s="108"/>
      <c r="C522" s="123"/>
      <c r="D522" s="123"/>
      <c r="E522" s="124"/>
      <c r="F522" s="109"/>
      <c r="G522" s="109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spans="1:26" ht="11.25" customHeight="1">
      <c r="A523" s="108"/>
      <c r="B523" s="108"/>
      <c r="C523" s="123"/>
      <c r="D523" s="123"/>
      <c r="E523" s="124"/>
      <c r="F523" s="109"/>
      <c r="G523" s="109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spans="1:26" ht="11.25" customHeight="1">
      <c r="A524" s="108"/>
      <c r="B524" s="108"/>
      <c r="C524" s="123"/>
      <c r="D524" s="123"/>
      <c r="E524" s="124"/>
      <c r="F524" s="109"/>
      <c r="G524" s="109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spans="1:26" ht="11.25" customHeight="1">
      <c r="A525" s="108"/>
      <c r="B525" s="108"/>
      <c r="C525" s="123"/>
      <c r="D525" s="123"/>
      <c r="E525" s="124"/>
      <c r="F525" s="109"/>
      <c r="G525" s="109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spans="1:26" ht="11.25" customHeight="1">
      <c r="A526" s="108"/>
      <c r="B526" s="108"/>
      <c r="C526" s="123"/>
      <c r="D526" s="123"/>
      <c r="E526" s="124"/>
      <c r="F526" s="109"/>
      <c r="G526" s="109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spans="1:26" ht="11.25" customHeight="1">
      <c r="A527" s="108"/>
      <c r="B527" s="108"/>
      <c r="C527" s="123"/>
      <c r="D527" s="123"/>
      <c r="E527" s="124"/>
      <c r="F527" s="109"/>
      <c r="G527" s="109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spans="1:26" ht="11.25" customHeight="1">
      <c r="A528" s="108"/>
      <c r="B528" s="108"/>
      <c r="C528" s="123"/>
      <c r="D528" s="123"/>
      <c r="E528" s="124"/>
      <c r="F528" s="109"/>
      <c r="G528" s="109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spans="1:26" ht="11.25" customHeight="1">
      <c r="A529" s="108"/>
      <c r="B529" s="108"/>
      <c r="C529" s="123"/>
      <c r="D529" s="123"/>
      <c r="E529" s="124"/>
      <c r="F529" s="109"/>
      <c r="G529" s="109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spans="1:26" ht="11.25" customHeight="1">
      <c r="A530" s="108"/>
      <c r="B530" s="108"/>
      <c r="C530" s="123"/>
      <c r="D530" s="123"/>
      <c r="E530" s="124"/>
      <c r="F530" s="109"/>
      <c r="G530" s="109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spans="1:26" ht="11.25" customHeight="1">
      <c r="A531" s="108"/>
      <c r="B531" s="108"/>
      <c r="C531" s="123"/>
      <c r="D531" s="123"/>
      <c r="E531" s="124"/>
      <c r="F531" s="109"/>
      <c r="G531" s="109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spans="1:26" ht="11.25" customHeight="1">
      <c r="A532" s="108"/>
      <c r="B532" s="108"/>
      <c r="C532" s="123"/>
      <c r="D532" s="123"/>
      <c r="E532" s="124"/>
      <c r="F532" s="109"/>
      <c r="G532" s="109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spans="1:26" ht="11.25" customHeight="1">
      <c r="A533" s="108"/>
      <c r="B533" s="108"/>
      <c r="C533" s="123"/>
      <c r="D533" s="123"/>
      <c r="E533" s="124"/>
      <c r="F533" s="109"/>
      <c r="G533" s="109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spans="1:26" ht="11.25" customHeight="1">
      <c r="A534" s="108"/>
      <c r="B534" s="108"/>
      <c r="C534" s="123"/>
      <c r="D534" s="123"/>
      <c r="E534" s="124"/>
      <c r="F534" s="109"/>
      <c r="G534" s="109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spans="1:26" ht="11.25" customHeight="1">
      <c r="A535" s="108"/>
      <c r="B535" s="108"/>
      <c r="C535" s="123"/>
      <c r="D535" s="123"/>
      <c r="E535" s="124"/>
      <c r="F535" s="109"/>
      <c r="G535" s="109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spans="1:26" ht="11.25" customHeight="1">
      <c r="A536" s="108"/>
      <c r="B536" s="108"/>
      <c r="C536" s="123"/>
      <c r="D536" s="123"/>
      <c r="E536" s="124"/>
      <c r="F536" s="109"/>
      <c r="G536" s="109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spans="1:26" ht="11.25" customHeight="1">
      <c r="A537" s="108"/>
      <c r="B537" s="108"/>
      <c r="C537" s="123"/>
      <c r="D537" s="123"/>
      <c r="E537" s="124"/>
      <c r="F537" s="109"/>
      <c r="G537" s="109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spans="1:26" ht="11.25" customHeight="1">
      <c r="A538" s="108"/>
      <c r="B538" s="108"/>
      <c r="C538" s="123"/>
      <c r="D538" s="123"/>
      <c r="E538" s="124"/>
      <c r="F538" s="109"/>
      <c r="G538" s="109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spans="1:26" ht="11.25" customHeight="1">
      <c r="A539" s="108"/>
      <c r="B539" s="108"/>
      <c r="C539" s="123"/>
      <c r="D539" s="123"/>
      <c r="E539" s="124"/>
      <c r="F539" s="109"/>
      <c r="G539" s="109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spans="1:26" ht="11.25" customHeight="1">
      <c r="A540" s="108"/>
      <c r="B540" s="108"/>
      <c r="C540" s="123"/>
      <c r="D540" s="123"/>
      <c r="E540" s="124"/>
      <c r="F540" s="109"/>
      <c r="G540" s="109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spans="1:26" ht="11.25" customHeight="1">
      <c r="A541" s="108"/>
      <c r="B541" s="108"/>
      <c r="C541" s="123"/>
      <c r="D541" s="123"/>
      <c r="E541" s="124"/>
      <c r="F541" s="109"/>
      <c r="G541" s="109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spans="1:26" ht="11.25" customHeight="1">
      <c r="A542" s="108"/>
      <c r="B542" s="108"/>
      <c r="C542" s="123"/>
      <c r="D542" s="123"/>
      <c r="E542" s="124"/>
      <c r="F542" s="109"/>
      <c r="G542" s="109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spans="1:26" ht="11.25" customHeight="1">
      <c r="A543" s="108"/>
      <c r="B543" s="108"/>
      <c r="C543" s="123"/>
      <c r="D543" s="123"/>
      <c r="E543" s="124"/>
      <c r="F543" s="109"/>
      <c r="G543" s="109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spans="1:26" ht="11.25" customHeight="1">
      <c r="A544" s="108"/>
      <c r="B544" s="108"/>
      <c r="C544" s="123"/>
      <c r="D544" s="123"/>
      <c r="E544" s="124"/>
      <c r="F544" s="109"/>
      <c r="G544" s="109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spans="1:26" ht="11.25" customHeight="1">
      <c r="A545" s="108"/>
      <c r="B545" s="108"/>
      <c r="C545" s="123"/>
      <c r="D545" s="123"/>
      <c r="E545" s="124"/>
      <c r="F545" s="109"/>
      <c r="G545" s="109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spans="1:26" ht="11.25" customHeight="1">
      <c r="A546" s="108"/>
      <c r="B546" s="108"/>
      <c r="C546" s="123"/>
      <c r="D546" s="123"/>
      <c r="E546" s="124"/>
      <c r="F546" s="109"/>
      <c r="G546" s="109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spans="1:26" ht="11.25" customHeight="1">
      <c r="A547" s="108"/>
      <c r="B547" s="108"/>
      <c r="C547" s="123"/>
      <c r="D547" s="123"/>
      <c r="E547" s="124"/>
      <c r="F547" s="109"/>
      <c r="G547" s="109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spans="1:26" ht="11.25" customHeight="1">
      <c r="A548" s="108"/>
      <c r="B548" s="108"/>
      <c r="C548" s="123"/>
      <c r="D548" s="123"/>
      <c r="E548" s="124"/>
      <c r="F548" s="109"/>
      <c r="G548" s="109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spans="1:26" ht="11.25" customHeight="1">
      <c r="A549" s="108"/>
      <c r="B549" s="108"/>
      <c r="C549" s="123"/>
      <c r="D549" s="123"/>
      <c r="E549" s="124"/>
      <c r="F549" s="109"/>
      <c r="G549" s="109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spans="1:26" ht="11.25" customHeight="1">
      <c r="A550" s="108"/>
      <c r="B550" s="108"/>
      <c r="C550" s="123"/>
      <c r="D550" s="123"/>
      <c r="E550" s="124"/>
      <c r="F550" s="109"/>
      <c r="G550" s="109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spans="1:26" ht="11.25" customHeight="1">
      <c r="A551" s="108"/>
      <c r="B551" s="108"/>
      <c r="C551" s="123"/>
      <c r="D551" s="123"/>
      <c r="E551" s="124"/>
      <c r="F551" s="109"/>
      <c r="G551" s="109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spans="1:26" ht="11.25" customHeight="1">
      <c r="A552" s="108"/>
      <c r="B552" s="108"/>
      <c r="C552" s="123"/>
      <c r="D552" s="123"/>
      <c r="E552" s="124"/>
      <c r="F552" s="109"/>
      <c r="G552" s="109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spans="1:26" ht="11.25" customHeight="1">
      <c r="A553" s="108"/>
      <c r="B553" s="108"/>
      <c r="C553" s="123"/>
      <c r="D553" s="123"/>
      <c r="E553" s="124"/>
      <c r="F553" s="109"/>
      <c r="G553" s="109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spans="1:26" ht="11.25" customHeight="1">
      <c r="A554" s="108"/>
      <c r="B554" s="108"/>
      <c r="C554" s="123"/>
      <c r="D554" s="123"/>
      <c r="E554" s="124"/>
      <c r="F554" s="109"/>
      <c r="G554" s="109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spans="1:26" ht="11.25" customHeight="1">
      <c r="A555" s="108"/>
      <c r="B555" s="108"/>
      <c r="C555" s="123"/>
      <c r="D555" s="123"/>
      <c r="E555" s="124"/>
      <c r="F555" s="109"/>
      <c r="G555" s="109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spans="1:26" ht="11.25" customHeight="1">
      <c r="A556" s="108"/>
      <c r="B556" s="108"/>
      <c r="C556" s="123"/>
      <c r="D556" s="123"/>
      <c r="E556" s="124"/>
      <c r="F556" s="109"/>
      <c r="G556" s="109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spans="1:26" ht="11.25" customHeight="1">
      <c r="A557" s="108"/>
      <c r="B557" s="108"/>
      <c r="C557" s="123"/>
      <c r="D557" s="123"/>
      <c r="E557" s="124"/>
      <c r="F557" s="109"/>
      <c r="G557" s="109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spans="1:26" ht="11.25" customHeight="1">
      <c r="A558" s="108"/>
      <c r="B558" s="108"/>
      <c r="C558" s="123"/>
      <c r="D558" s="123"/>
      <c r="E558" s="124"/>
      <c r="F558" s="109"/>
      <c r="G558" s="109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spans="1:26" ht="11.25" customHeight="1">
      <c r="A559" s="108"/>
      <c r="B559" s="108"/>
      <c r="C559" s="123"/>
      <c r="D559" s="123"/>
      <c r="E559" s="124"/>
      <c r="F559" s="109"/>
      <c r="G559" s="109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spans="1:26" ht="11.25" customHeight="1">
      <c r="A560" s="108"/>
      <c r="B560" s="108"/>
      <c r="C560" s="123"/>
      <c r="D560" s="123"/>
      <c r="E560" s="124"/>
      <c r="F560" s="109"/>
      <c r="G560" s="109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spans="1:26" ht="11.25" customHeight="1">
      <c r="A561" s="108"/>
      <c r="B561" s="108"/>
      <c r="C561" s="123"/>
      <c r="D561" s="123"/>
      <c r="E561" s="124"/>
      <c r="F561" s="109"/>
      <c r="G561" s="109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spans="1:26" ht="11.25" customHeight="1">
      <c r="A562" s="108"/>
      <c r="B562" s="108"/>
      <c r="C562" s="123"/>
      <c r="D562" s="123"/>
      <c r="E562" s="124"/>
      <c r="F562" s="109"/>
      <c r="G562" s="109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spans="1:26" ht="11.25" customHeight="1">
      <c r="A563" s="108"/>
      <c r="B563" s="108"/>
      <c r="C563" s="123"/>
      <c r="D563" s="123"/>
      <c r="E563" s="124"/>
      <c r="F563" s="109"/>
      <c r="G563" s="109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spans="1:26" ht="11.25" customHeight="1">
      <c r="A564" s="108"/>
      <c r="B564" s="108"/>
      <c r="C564" s="123"/>
      <c r="D564" s="123"/>
      <c r="E564" s="124"/>
      <c r="F564" s="109"/>
      <c r="G564" s="109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spans="1:26" ht="11.25" customHeight="1">
      <c r="A565" s="108"/>
      <c r="B565" s="108"/>
      <c r="C565" s="123"/>
      <c r="D565" s="123"/>
      <c r="E565" s="124"/>
      <c r="F565" s="109"/>
      <c r="G565" s="109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spans="1:26" ht="11.25" customHeight="1">
      <c r="A566" s="108"/>
      <c r="B566" s="108"/>
      <c r="C566" s="123"/>
      <c r="D566" s="123"/>
      <c r="E566" s="124"/>
      <c r="F566" s="109"/>
      <c r="G566" s="109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spans="1:26" ht="11.25" customHeight="1">
      <c r="A567" s="108"/>
      <c r="B567" s="108"/>
      <c r="C567" s="123"/>
      <c r="D567" s="123"/>
      <c r="E567" s="124"/>
      <c r="F567" s="109"/>
      <c r="G567" s="109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spans="1:26" ht="11.25" customHeight="1">
      <c r="A568" s="108"/>
      <c r="B568" s="108"/>
      <c r="C568" s="123"/>
      <c r="D568" s="123"/>
      <c r="E568" s="124"/>
      <c r="F568" s="109"/>
      <c r="G568" s="109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spans="1:26" ht="11.25" customHeight="1">
      <c r="A569" s="108"/>
      <c r="B569" s="108"/>
      <c r="C569" s="123"/>
      <c r="D569" s="123"/>
      <c r="E569" s="124"/>
      <c r="F569" s="109"/>
      <c r="G569" s="109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spans="1:26" ht="11.25" customHeight="1">
      <c r="A570" s="108"/>
      <c r="B570" s="108"/>
      <c r="C570" s="123"/>
      <c r="D570" s="123"/>
      <c r="E570" s="124"/>
      <c r="F570" s="109"/>
      <c r="G570" s="109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spans="1:26" ht="11.25" customHeight="1">
      <c r="A571" s="108"/>
      <c r="B571" s="108"/>
      <c r="C571" s="123"/>
      <c r="D571" s="123"/>
      <c r="E571" s="124"/>
      <c r="F571" s="109"/>
      <c r="G571" s="109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spans="1:26" ht="11.25" customHeight="1">
      <c r="A572" s="108"/>
      <c r="B572" s="108"/>
      <c r="C572" s="123"/>
      <c r="D572" s="123"/>
      <c r="E572" s="124"/>
      <c r="F572" s="109"/>
      <c r="G572" s="109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spans="1:26" ht="11.25" customHeight="1">
      <c r="A573" s="108"/>
      <c r="B573" s="108"/>
      <c r="C573" s="123"/>
      <c r="D573" s="123"/>
      <c r="E573" s="124"/>
      <c r="F573" s="109"/>
      <c r="G573" s="109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spans="1:26" ht="11.25" customHeight="1">
      <c r="A574" s="108"/>
      <c r="B574" s="108"/>
      <c r="C574" s="123"/>
      <c r="D574" s="123"/>
      <c r="E574" s="124"/>
      <c r="F574" s="109"/>
      <c r="G574" s="109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spans="1:26" ht="11.25" customHeight="1">
      <c r="A575" s="108"/>
      <c r="B575" s="108"/>
      <c r="C575" s="123"/>
      <c r="D575" s="123"/>
      <c r="E575" s="124"/>
      <c r="F575" s="109"/>
      <c r="G575" s="109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spans="1:26" ht="11.25" customHeight="1">
      <c r="A576" s="108"/>
      <c r="B576" s="108"/>
      <c r="C576" s="123"/>
      <c r="D576" s="123"/>
      <c r="E576" s="124"/>
      <c r="F576" s="109"/>
      <c r="G576" s="109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spans="1:26" ht="11.25" customHeight="1">
      <c r="A577" s="108"/>
      <c r="B577" s="108"/>
      <c r="C577" s="123"/>
      <c r="D577" s="123"/>
      <c r="E577" s="124"/>
      <c r="F577" s="109"/>
      <c r="G577" s="109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spans="1:26" ht="11.25" customHeight="1">
      <c r="A578" s="108"/>
      <c r="B578" s="108"/>
      <c r="C578" s="123"/>
      <c r="D578" s="123"/>
      <c r="E578" s="124"/>
      <c r="F578" s="109"/>
      <c r="G578" s="109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spans="1:26" ht="11.25" customHeight="1">
      <c r="A579" s="108"/>
      <c r="B579" s="108"/>
      <c r="C579" s="123"/>
      <c r="D579" s="123"/>
      <c r="E579" s="124"/>
      <c r="F579" s="109"/>
      <c r="G579" s="109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spans="1:26" ht="11.25" customHeight="1">
      <c r="A580" s="108"/>
      <c r="B580" s="108"/>
      <c r="C580" s="123"/>
      <c r="D580" s="123"/>
      <c r="E580" s="124"/>
      <c r="F580" s="109"/>
      <c r="G580" s="109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spans="1:26" ht="11.25" customHeight="1">
      <c r="A581" s="108"/>
      <c r="B581" s="108"/>
      <c r="C581" s="123"/>
      <c r="D581" s="123"/>
      <c r="E581" s="124"/>
      <c r="F581" s="109"/>
      <c r="G581" s="109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spans="1:26" ht="11.25" customHeight="1">
      <c r="A582" s="108"/>
      <c r="B582" s="108"/>
      <c r="C582" s="123"/>
      <c r="D582" s="123"/>
      <c r="E582" s="124"/>
      <c r="F582" s="109"/>
      <c r="G582" s="109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spans="1:26" ht="11.25" customHeight="1">
      <c r="A583" s="108"/>
      <c r="B583" s="108"/>
      <c r="C583" s="123"/>
      <c r="D583" s="123"/>
      <c r="E583" s="124"/>
      <c r="F583" s="109"/>
      <c r="G583" s="109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spans="1:26" ht="11.25" customHeight="1">
      <c r="A584" s="108"/>
      <c r="B584" s="108"/>
      <c r="C584" s="123"/>
      <c r="D584" s="123"/>
      <c r="E584" s="124"/>
      <c r="F584" s="109"/>
      <c r="G584" s="109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spans="1:26" ht="11.25" customHeight="1">
      <c r="A585" s="108"/>
      <c r="B585" s="108"/>
      <c r="C585" s="123"/>
      <c r="D585" s="123"/>
      <c r="E585" s="124"/>
      <c r="F585" s="109"/>
      <c r="G585" s="109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spans="1:26" ht="11.25" customHeight="1">
      <c r="A586" s="108"/>
      <c r="B586" s="108"/>
      <c r="C586" s="123"/>
      <c r="D586" s="123"/>
      <c r="E586" s="124"/>
      <c r="F586" s="109"/>
      <c r="G586" s="109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spans="1:26" ht="11.25" customHeight="1">
      <c r="A587" s="108"/>
      <c r="B587" s="108"/>
      <c r="C587" s="123"/>
      <c r="D587" s="123"/>
      <c r="E587" s="124"/>
      <c r="F587" s="109"/>
      <c r="G587" s="109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spans="1:26" ht="11.25" customHeight="1">
      <c r="A588" s="108"/>
      <c r="B588" s="108"/>
      <c r="C588" s="123"/>
      <c r="D588" s="123"/>
      <c r="E588" s="124"/>
      <c r="F588" s="109"/>
      <c r="G588" s="109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spans="1:26" ht="11.25" customHeight="1">
      <c r="A589" s="108"/>
      <c r="B589" s="108"/>
      <c r="C589" s="123"/>
      <c r="D589" s="123"/>
      <c r="E589" s="124"/>
      <c r="F589" s="109"/>
      <c r="G589" s="109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spans="1:26" ht="11.25" customHeight="1">
      <c r="A590" s="108"/>
      <c r="B590" s="108"/>
      <c r="C590" s="123"/>
      <c r="D590" s="123"/>
      <c r="E590" s="124"/>
      <c r="F590" s="109"/>
      <c r="G590" s="109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spans="1:26" ht="11.25" customHeight="1">
      <c r="A591" s="108"/>
      <c r="B591" s="108"/>
      <c r="C591" s="123"/>
      <c r="D591" s="123"/>
      <c r="E591" s="124"/>
      <c r="F591" s="109"/>
      <c r="G591" s="109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spans="1:26" ht="11.25" customHeight="1">
      <c r="A592" s="108"/>
      <c r="B592" s="108"/>
      <c r="C592" s="123"/>
      <c r="D592" s="123"/>
      <c r="E592" s="124"/>
      <c r="F592" s="109"/>
      <c r="G592" s="109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spans="1:26" ht="11.25" customHeight="1">
      <c r="A593" s="108"/>
      <c r="B593" s="108"/>
      <c r="C593" s="123"/>
      <c r="D593" s="123"/>
      <c r="E593" s="124"/>
      <c r="F593" s="109"/>
      <c r="G593" s="109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spans="1:26" ht="11.25" customHeight="1">
      <c r="A594" s="108"/>
      <c r="B594" s="108"/>
      <c r="C594" s="123"/>
      <c r="D594" s="123"/>
      <c r="E594" s="124"/>
      <c r="F594" s="109"/>
      <c r="G594" s="109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spans="1:26" ht="11.25" customHeight="1">
      <c r="A595" s="108"/>
      <c r="B595" s="108"/>
      <c r="C595" s="123"/>
      <c r="D595" s="123"/>
      <c r="E595" s="124"/>
      <c r="F595" s="109"/>
      <c r="G595" s="109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spans="1:26" ht="11.25" customHeight="1">
      <c r="A596" s="108"/>
      <c r="B596" s="108"/>
      <c r="C596" s="123"/>
      <c r="D596" s="123"/>
      <c r="E596" s="124"/>
      <c r="F596" s="109"/>
      <c r="G596" s="109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spans="1:26" ht="11.25" customHeight="1">
      <c r="A597" s="108"/>
      <c r="B597" s="108"/>
      <c r="C597" s="123"/>
      <c r="D597" s="123"/>
      <c r="E597" s="124"/>
      <c r="F597" s="109"/>
      <c r="G597" s="109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spans="1:26" ht="11.25" customHeight="1">
      <c r="A598" s="108"/>
      <c r="B598" s="108"/>
      <c r="C598" s="123"/>
      <c r="D598" s="123"/>
      <c r="E598" s="124"/>
      <c r="F598" s="109"/>
      <c r="G598" s="109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spans="1:26" ht="11.25" customHeight="1">
      <c r="A599" s="108"/>
      <c r="B599" s="108"/>
      <c r="C599" s="123"/>
      <c r="D599" s="123"/>
      <c r="E599" s="124"/>
      <c r="F599" s="109"/>
      <c r="G599" s="109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spans="1:26" ht="11.25" customHeight="1">
      <c r="A600" s="108"/>
      <c r="B600" s="108"/>
      <c r="C600" s="123"/>
      <c r="D600" s="123"/>
      <c r="E600" s="124"/>
      <c r="F600" s="109"/>
      <c r="G600" s="109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spans="1:26" ht="11.25" customHeight="1">
      <c r="A601" s="108"/>
      <c r="B601" s="108"/>
      <c r="C601" s="123"/>
      <c r="D601" s="123"/>
      <c r="E601" s="124"/>
      <c r="F601" s="109"/>
      <c r="G601" s="109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spans="1:26" ht="11.25" customHeight="1">
      <c r="A602" s="108"/>
      <c r="B602" s="108"/>
      <c r="C602" s="123"/>
      <c r="D602" s="123"/>
      <c r="E602" s="124"/>
      <c r="F602" s="109"/>
      <c r="G602" s="109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spans="1:26" ht="11.25" customHeight="1">
      <c r="A603" s="108"/>
      <c r="B603" s="108"/>
      <c r="C603" s="123"/>
      <c r="D603" s="123"/>
      <c r="E603" s="124"/>
      <c r="F603" s="109"/>
      <c r="G603" s="109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spans="1:26" ht="11.25" customHeight="1">
      <c r="A604" s="108"/>
      <c r="B604" s="108"/>
      <c r="C604" s="123"/>
      <c r="D604" s="123"/>
      <c r="E604" s="124"/>
      <c r="F604" s="109"/>
      <c r="G604" s="109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spans="1:26" ht="11.25" customHeight="1">
      <c r="A605" s="108"/>
      <c r="B605" s="108"/>
      <c r="C605" s="123"/>
      <c r="D605" s="123"/>
      <c r="E605" s="124"/>
      <c r="F605" s="109"/>
      <c r="G605" s="109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spans="1:26" ht="11.25" customHeight="1">
      <c r="A606" s="108"/>
      <c r="B606" s="108"/>
      <c r="C606" s="123"/>
      <c r="D606" s="123"/>
      <c r="E606" s="124"/>
      <c r="F606" s="109"/>
      <c r="G606" s="109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spans="1:26" ht="11.25" customHeight="1">
      <c r="A607" s="108"/>
      <c r="B607" s="108"/>
      <c r="C607" s="123"/>
      <c r="D607" s="123"/>
      <c r="E607" s="124"/>
      <c r="F607" s="109"/>
      <c r="G607" s="109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spans="1:26" ht="11.25" customHeight="1">
      <c r="A608" s="108"/>
      <c r="B608" s="108"/>
      <c r="C608" s="123"/>
      <c r="D608" s="123"/>
      <c r="E608" s="124"/>
      <c r="F608" s="109"/>
      <c r="G608" s="109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spans="1:26" ht="11.25" customHeight="1">
      <c r="A609" s="108"/>
      <c r="B609" s="108"/>
      <c r="C609" s="123"/>
      <c r="D609" s="123"/>
      <c r="E609" s="124"/>
      <c r="F609" s="109"/>
      <c r="G609" s="109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spans="1:26" ht="11.25" customHeight="1">
      <c r="A610" s="108"/>
      <c r="B610" s="108"/>
      <c r="C610" s="123"/>
      <c r="D610" s="123"/>
      <c r="E610" s="124"/>
      <c r="F610" s="109"/>
      <c r="G610" s="109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spans="1:26" ht="11.25" customHeight="1">
      <c r="A611" s="108"/>
      <c r="B611" s="108"/>
      <c r="C611" s="123"/>
      <c r="D611" s="123"/>
      <c r="E611" s="124"/>
      <c r="F611" s="109"/>
      <c r="G611" s="109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spans="1:26" ht="11.25" customHeight="1">
      <c r="A612" s="108"/>
      <c r="B612" s="108"/>
      <c r="C612" s="123"/>
      <c r="D612" s="123"/>
      <c r="E612" s="124"/>
      <c r="F612" s="109"/>
      <c r="G612" s="109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spans="1:26" ht="11.25" customHeight="1">
      <c r="A613" s="108"/>
      <c r="B613" s="108"/>
      <c r="C613" s="123"/>
      <c r="D613" s="123"/>
      <c r="E613" s="124"/>
      <c r="F613" s="109"/>
      <c r="G613" s="109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spans="1:26" ht="11.25" customHeight="1">
      <c r="A614" s="108"/>
      <c r="B614" s="108"/>
      <c r="C614" s="123"/>
      <c r="D614" s="123"/>
      <c r="E614" s="124"/>
      <c r="F614" s="109"/>
      <c r="G614" s="109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spans="1:26" ht="11.25" customHeight="1">
      <c r="A615" s="108"/>
      <c r="B615" s="108"/>
      <c r="C615" s="123"/>
      <c r="D615" s="123"/>
      <c r="E615" s="124"/>
      <c r="F615" s="109"/>
      <c r="G615" s="109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spans="1:26" ht="11.25" customHeight="1">
      <c r="A616" s="108"/>
      <c r="B616" s="108"/>
      <c r="C616" s="123"/>
      <c r="D616" s="123"/>
      <c r="E616" s="124"/>
      <c r="F616" s="109"/>
      <c r="G616" s="109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spans="1:26" ht="11.25" customHeight="1">
      <c r="A617" s="108"/>
      <c r="B617" s="108"/>
      <c r="C617" s="123"/>
      <c r="D617" s="123"/>
      <c r="E617" s="124"/>
      <c r="F617" s="109"/>
      <c r="G617" s="109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spans="1:26" ht="11.25" customHeight="1">
      <c r="A618" s="108"/>
      <c r="B618" s="108"/>
      <c r="C618" s="123"/>
      <c r="D618" s="123"/>
      <c r="E618" s="124"/>
      <c r="F618" s="109"/>
      <c r="G618" s="109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spans="1:26" ht="11.25" customHeight="1">
      <c r="A619" s="108"/>
      <c r="B619" s="108"/>
      <c r="C619" s="123"/>
      <c r="D619" s="123"/>
      <c r="E619" s="124"/>
      <c r="F619" s="109"/>
      <c r="G619" s="109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spans="1:26" ht="11.25" customHeight="1">
      <c r="A620" s="108"/>
      <c r="B620" s="108"/>
      <c r="C620" s="123"/>
      <c r="D620" s="123"/>
      <c r="E620" s="124"/>
      <c r="F620" s="109"/>
      <c r="G620" s="109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spans="1:26" ht="11.25" customHeight="1">
      <c r="A621" s="108"/>
      <c r="B621" s="108"/>
      <c r="C621" s="123"/>
      <c r="D621" s="123"/>
      <c r="E621" s="124"/>
      <c r="F621" s="109"/>
      <c r="G621" s="109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spans="1:26" ht="11.25" customHeight="1">
      <c r="A622" s="108"/>
      <c r="B622" s="108"/>
      <c r="C622" s="123"/>
      <c r="D622" s="123"/>
      <c r="E622" s="124"/>
      <c r="F622" s="109"/>
      <c r="G622" s="109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spans="1:26" ht="11.25" customHeight="1">
      <c r="A623" s="108"/>
      <c r="B623" s="108"/>
      <c r="C623" s="123"/>
      <c r="D623" s="123"/>
      <c r="E623" s="124"/>
      <c r="F623" s="109"/>
      <c r="G623" s="109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spans="1:26" ht="11.25" customHeight="1">
      <c r="A624" s="108"/>
      <c r="B624" s="108"/>
      <c r="C624" s="123"/>
      <c r="D624" s="123"/>
      <c r="E624" s="124"/>
      <c r="F624" s="109"/>
      <c r="G624" s="109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spans="1:26" ht="11.25" customHeight="1">
      <c r="A625" s="108"/>
      <c r="B625" s="108"/>
      <c r="C625" s="123"/>
      <c r="D625" s="123"/>
      <c r="E625" s="124"/>
      <c r="F625" s="109"/>
      <c r="G625" s="109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spans="1:26" ht="11.25" customHeight="1">
      <c r="A626" s="108"/>
      <c r="B626" s="108"/>
      <c r="C626" s="123"/>
      <c r="D626" s="123"/>
      <c r="E626" s="124"/>
      <c r="F626" s="109"/>
      <c r="G626" s="109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spans="1:26" ht="11.25" customHeight="1">
      <c r="A627" s="108"/>
      <c r="B627" s="108"/>
      <c r="C627" s="123"/>
      <c r="D627" s="123"/>
      <c r="E627" s="124"/>
      <c r="F627" s="109"/>
      <c r="G627" s="109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spans="1:26" ht="11.25" customHeight="1">
      <c r="A628" s="108"/>
      <c r="B628" s="108"/>
      <c r="C628" s="123"/>
      <c r="D628" s="123"/>
      <c r="E628" s="124"/>
      <c r="F628" s="109"/>
      <c r="G628" s="109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spans="1:26" ht="11.25" customHeight="1">
      <c r="A629" s="108"/>
      <c r="B629" s="108"/>
      <c r="C629" s="123"/>
      <c r="D629" s="123"/>
      <c r="E629" s="124"/>
      <c r="F629" s="109"/>
      <c r="G629" s="109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spans="1:26" ht="11.25" customHeight="1">
      <c r="A630" s="108"/>
      <c r="B630" s="108"/>
      <c r="C630" s="123"/>
      <c r="D630" s="123"/>
      <c r="E630" s="124"/>
      <c r="F630" s="109"/>
      <c r="G630" s="109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spans="1:26" ht="11.25" customHeight="1">
      <c r="A631" s="108"/>
      <c r="B631" s="108"/>
      <c r="C631" s="123"/>
      <c r="D631" s="123"/>
      <c r="E631" s="124"/>
      <c r="F631" s="109"/>
      <c r="G631" s="109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spans="1:26" ht="11.25" customHeight="1">
      <c r="A632" s="108"/>
      <c r="B632" s="108"/>
      <c r="C632" s="123"/>
      <c r="D632" s="123"/>
      <c r="E632" s="124"/>
      <c r="F632" s="109"/>
      <c r="G632" s="109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spans="1:26" ht="11.25" customHeight="1">
      <c r="A633" s="108"/>
      <c r="B633" s="108"/>
      <c r="C633" s="123"/>
      <c r="D633" s="123"/>
      <c r="E633" s="124"/>
      <c r="F633" s="109"/>
      <c r="G633" s="109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spans="1:26" ht="11.25" customHeight="1">
      <c r="A634" s="108"/>
      <c r="B634" s="108"/>
      <c r="C634" s="123"/>
      <c r="D634" s="123"/>
      <c r="E634" s="124"/>
      <c r="F634" s="109"/>
      <c r="G634" s="109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spans="1:26" ht="11.25" customHeight="1">
      <c r="A635" s="108"/>
      <c r="B635" s="108"/>
      <c r="C635" s="123"/>
      <c r="D635" s="123"/>
      <c r="E635" s="124"/>
      <c r="F635" s="109"/>
      <c r="G635" s="109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spans="1:26" ht="11.25" customHeight="1">
      <c r="A636" s="108"/>
      <c r="B636" s="108"/>
      <c r="C636" s="123"/>
      <c r="D636" s="123"/>
      <c r="E636" s="124"/>
      <c r="F636" s="109"/>
      <c r="G636" s="109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spans="1:26" ht="11.25" customHeight="1">
      <c r="A637" s="108"/>
      <c r="B637" s="108"/>
      <c r="C637" s="123"/>
      <c r="D637" s="123"/>
      <c r="E637" s="124"/>
      <c r="F637" s="109"/>
      <c r="G637" s="109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spans="1:26" ht="11.25" customHeight="1">
      <c r="A638" s="108"/>
      <c r="B638" s="108"/>
      <c r="C638" s="123"/>
      <c r="D638" s="123"/>
      <c r="E638" s="124"/>
      <c r="F638" s="109"/>
      <c r="G638" s="109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spans="1:26" ht="11.25" customHeight="1">
      <c r="A639" s="108"/>
      <c r="B639" s="108"/>
      <c r="C639" s="123"/>
      <c r="D639" s="123"/>
      <c r="E639" s="124"/>
      <c r="F639" s="109"/>
      <c r="G639" s="109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spans="1:26" ht="11.25" customHeight="1">
      <c r="A640" s="108"/>
      <c r="B640" s="108"/>
      <c r="C640" s="123"/>
      <c r="D640" s="123"/>
      <c r="E640" s="124"/>
      <c r="F640" s="109"/>
      <c r="G640" s="109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spans="1:26" ht="11.25" customHeight="1">
      <c r="A641" s="108"/>
      <c r="B641" s="108"/>
      <c r="C641" s="123"/>
      <c r="D641" s="123"/>
      <c r="E641" s="124"/>
      <c r="F641" s="109"/>
      <c r="G641" s="109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spans="1:26" ht="11.25" customHeight="1">
      <c r="A642" s="108"/>
      <c r="B642" s="108"/>
      <c r="C642" s="123"/>
      <c r="D642" s="123"/>
      <c r="E642" s="124"/>
      <c r="F642" s="109"/>
      <c r="G642" s="109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spans="1:26" ht="11.25" customHeight="1">
      <c r="A643" s="108"/>
      <c r="B643" s="108"/>
      <c r="C643" s="123"/>
      <c r="D643" s="123"/>
      <c r="E643" s="124"/>
      <c r="F643" s="109"/>
      <c r="G643" s="109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spans="1:26" ht="11.25" customHeight="1">
      <c r="A644" s="108"/>
      <c r="B644" s="108"/>
      <c r="C644" s="123"/>
      <c r="D644" s="123"/>
      <c r="E644" s="124"/>
      <c r="F644" s="109"/>
      <c r="G644" s="109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spans="1:26" ht="11.25" customHeight="1">
      <c r="A645" s="108"/>
      <c r="B645" s="108"/>
      <c r="C645" s="123"/>
      <c r="D645" s="123"/>
      <c r="E645" s="124"/>
      <c r="F645" s="109"/>
      <c r="G645" s="109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spans="1:26" ht="11.25" customHeight="1">
      <c r="A646" s="108"/>
      <c r="B646" s="108"/>
      <c r="C646" s="123"/>
      <c r="D646" s="123"/>
      <c r="E646" s="124"/>
      <c r="F646" s="109"/>
      <c r="G646" s="109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spans="1:26" ht="11.25" customHeight="1">
      <c r="A647" s="108"/>
      <c r="B647" s="108"/>
      <c r="C647" s="123"/>
      <c r="D647" s="123"/>
      <c r="E647" s="124"/>
      <c r="F647" s="109"/>
      <c r="G647" s="109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spans="1:26" ht="11.25" customHeight="1">
      <c r="A648" s="108"/>
      <c r="B648" s="108"/>
      <c r="C648" s="123"/>
      <c r="D648" s="123"/>
      <c r="E648" s="124"/>
      <c r="F648" s="109"/>
      <c r="G648" s="109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spans="1:26" ht="11.25" customHeight="1">
      <c r="A649" s="108"/>
      <c r="B649" s="108"/>
      <c r="C649" s="123"/>
      <c r="D649" s="123"/>
      <c r="E649" s="124"/>
      <c r="F649" s="109"/>
      <c r="G649" s="109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spans="1:26" ht="11.25" customHeight="1">
      <c r="A650" s="108"/>
      <c r="B650" s="108"/>
      <c r="C650" s="123"/>
      <c r="D650" s="123"/>
      <c r="E650" s="124"/>
      <c r="F650" s="109"/>
      <c r="G650" s="109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spans="1:26" ht="11.25" customHeight="1">
      <c r="A651" s="108"/>
      <c r="B651" s="108"/>
      <c r="C651" s="123"/>
      <c r="D651" s="123"/>
      <c r="E651" s="124"/>
      <c r="F651" s="109"/>
      <c r="G651" s="109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spans="1:26" ht="11.25" customHeight="1">
      <c r="A652" s="108"/>
      <c r="B652" s="108"/>
      <c r="C652" s="123"/>
      <c r="D652" s="123"/>
      <c r="E652" s="124"/>
      <c r="F652" s="109"/>
      <c r="G652" s="109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spans="1:26" ht="11.25" customHeight="1">
      <c r="A653" s="108"/>
      <c r="B653" s="108"/>
      <c r="C653" s="123"/>
      <c r="D653" s="123"/>
      <c r="E653" s="124"/>
      <c r="F653" s="109"/>
      <c r="G653" s="109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spans="1:26" ht="11.25" customHeight="1">
      <c r="A654" s="108"/>
      <c r="B654" s="108"/>
      <c r="C654" s="123"/>
      <c r="D654" s="123"/>
      <c r="E654" s="124"/>
      <c r="F654" s="109"/>
      <c r="G654" s="109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spans="1:26" ht="11.25" customHeight="1">
      <c r="A655" s="108"/>
      <c r="B655" s="108"/>
      <c r="C655" s="123"/>
      <c r="D655" s="123"/>
      <c r="E655" s="124"/>
      <c r="F655" s="109"/>
      <c r="G655" s="109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spans="1:26" ht="11.25" customHeight="1">
      <c r="A656" s="108"/>
      <c r="B656" s="108"/>
      <c r="C656" s="123"/>
      <c r="D656" s="123"/>
      <c r="E656" s="124"/>
      <c r="F656" s="109"/>
      <c r="G656" s="109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spans="1:26" ht="11.25" customHeight="1">
      <c r="A657" s="108"/>
      <c r="B657" s="108"/>
      <c r="C657" s="123"/>
      <c r="D657" s="123"/>
      <c r="E657" s="124"/>
      <c r="F657" s="109"/>
      <c r="G657" s="109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spans="1:26" ht="11.25" customHeight="1">
      <c r="A658" s="108"/>
      <c r="B658" s="108"/>
      <c r="C658" s="123"/>
      <c r="D658" s="123"/>
      <c r="E658" s="124"/>
      <c r="F658" s="109"/>
      <c r="G658" s="109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spans="1:26" ht="11.25" customHeight="1">
      <c r="A659" s="108"/>
      <c r="B659" s="108"/>
      <c r="C659" s="123"/>
      <c r="D659" s="123"/>
      <c r="E659" s="124"/>
      <c r="F659" s="109"/>
      <c r="G659" s="109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spans="1:26" ht="11.25" customHeight="1">
      <c r="A660" s="108"/>
      <c r="B660" s="108"/>
      <c r="C660" s="123"/>
      <c r="D660" s="123"/>
      <c r="E660" s="124"/>
      <c r="F660" s="109"/>
      <c r="G660" s="109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spans="1:26" ht="11.25" customHeight="1">
      <c r="A661" s="108"/>
      <c r="B661" s="108"/>
      <c r="C661" s="123"/>
      <c r="D661" s="123"/>
      <c r="E661" s="124"/>
      <c r="F661" s="109"/>
      <c r="G661" s="109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spans="1:26" ht="11.25" customHeight="1">
      <c r="A662" s="108"/>
      <c r="B662" s="108"/>
      <c r="C662" s="123"/>
      <c r="D662" s="123"/>
      <c r="E662" s="124"/>
      <c r="F662" s="109"/>
      <c r="G662" s="109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spans="1:26" ht="11.25" customHeight="1">
      <c r="A663" s="108"/>
      <c r="B663" s="108"/>
      <c r="C663" s="123"/>
      <c r="D663" s="123"/>
      <c r="E663" s="124"/>
      <c r="F663" s="109"/>
      <c r="G663" s="109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spans="1:26" ht="11.25" customHeight="1">
      <c r="A664" s="108"/>
      <c r="B664" s="108"/>
      <c r="C664" s="123"/>
      <c r="D664" s="123"/>
      <c r="E664" s="124"/>
      <c r="F664" s="109"/>
      <c r="G664" s="109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spans="1:26" ht="11.25" customHeight="1">
      <c r="A665" s="108"/>
      <c r="B665" s="108"/>
      <c r="C665" s="123"/>
      <c r="D665" s="123"/>
      <c r="E665" s="124"/>
      <c r="F665" s="109"/>
      <c r="G665" s="109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spans="1:26" ht="11.25" customHeight="1">
      <c r="A666" s="108"/>
      <c r="B666" s="108"/>
      <c r="C666" s="123"/>
      <c r="D666" s="123"/>
      <c r="E666" s="124"/>
      <c r="F666" s="109"/>
      <c r="G666" s="109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spans="1:26" ht="11.25" customHeight="1">
      <c r="A667" s="108"/>
      <c r="B667" s="108"/>
      <c r="C667" s="123"/>
      <c r="D667" s="123"/>
      <c r="E667" s="124"/>
      <c r="F667" s="109"/>
      <c r="G667" s="109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spans="1:26" ht="11.25" customHeight="1">
      <c r="A668" s="108"/>
      <c r="B668" s="108"/>
      <c r="C668" s="123"/>
      <c r="D668" s="123"/>
      <c r="E668" s="124"/>
      <c r="F668" s="109"/>
      <c r="G668" s="109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spans="1:26" ht="11.25" customHeight="1">
      <c r="A669" s="108"/>
      <c r="B669" s="108"/>
      <c r="C669" s="123"/>
      <c r="D669" s="123"/>
      <c r="E669" s="124"/>
      <c r="F669" s="109"/>
      <c r="G669" s="109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spans="1:26" ht="11.25" customHeight="1">
      <c r="A670" s="108"/>
      <c r="B670" s="108"/>
      <c r="C670" s="123"/>
      <c r="D670" s="123"/>
      <c r="E670" s="124"/>
      <c r="F670" s="109"/>
      <c r="G670" s="109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spans="1:26" ht="11.25" customHeight="1">
      <c r="A671" s="108"/>
      <c r="B671" s="108"/>
      <c r="C671" s="123"/>
      <c r="D671" s="123"/>
      <c r="E671" s="124"/>
      <c r="F671" s="109"/>
      <c r="G671" s="109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spans="1:26" ht="11.25" customHeight="1">
      <c r="A672" s="108"/>
      <c r="B672" s="108"/>
      <c r="C672" s="123"/>
      <c r="D672" s="123"/>
      <c r="E672" s="124"/>
      <c r="F672" s="109"/>
      <c r="G672" s="109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spans="1:26" ht="11.25" customHeight="1">
      <c r="A673" s="108"/>
      <c r="B673" s="108"/>
      <c r="C673" s="123"/>
      <c r="D673" s="123"/>
      <c r="E673" s="124"/>
      <c r="F673" s="109"/>
      <c r="G673" s="109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spans="1:26" ht="11.25" customHeight="1">
      <c r="A674" s="108"/>
      <c r="B674" s="108"/>
      <c r="C674" s="123"/>
      <c r="D674" s="123"/>
      <c r="E674" s="124"/>
      <c r="F674" s="109"/>
      <c r="G674" s="109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spans="1:26" ht="11.25" customHeight="1">
      <c r="A675" s="108"/>
      <c r="B675" s="108"/>
      <c r="C675" s="123"/>
      <c r="D675" s="123"/>
      <c r="E675" s="124"/>
      <c r="F675" s="109"/>
      <c r="G675" s="109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spans="1:26" ht="11.25" customHeight="1">
      <c r="A676" s="108"/>
      <c r="B676" s="108"/>
      <c r="C676" s="123"/>
      <c r="D676" s="123"/>
      <c r="E676" s="124"/>
      <c r="F676" s="109"/>
      <c r="G676" s="109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spans="1:26" ht="11.25" customHeight="1">
      <c r="A677" s="108"/>
      <c r="B677" s="108"/>
      <c r="C677" s="123"/>
      <c r="D677" s="123"/>
      <c r="E677" s="124"/>
      <c r="F677" s="109"/>
      <c r="G677" s="109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spans="1:26" ht="11.25" customHeight="1">
      <c r="A678" s="108"/>
      <c r="B678" s="108"/>
      <c r="C678" s="123"/>
      <c r="D678" s="123"/>
      <c r="E678" s="124"/>
      <c r="F678" s="109"/>
      <c r="G678" s="109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spans="1:26" ht="11.25" customHeight="1">
      <c r="A679" s="108"/>
      <c r="B679" s="108"/>
      <c r="C679" s="123"/>
      <c r="D679" s="123"/>
      <c r="E679" s="124"/>
      <c r="F679" s="109"/>
      <c r="G679" s="109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spans="1:26" ht="11.25" customHeight="1">
      <c r="A680" s="108"/>
      <c r="B680" s="108"/>
      <c r="C680" s="123"/>
      <c r="D680" s="123"/>
      <c r="E680" s="124"/>
      <c r="F680" s="109"/>
      <c r="G680" s="109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spans="1:26" ht="11.25" customHeight="1">
      <c r="A681" s="108"/>
      <c r="B681" s="108"/>
      <c r="C681" s="123"/>
      <c r="D681" s="123"/>
      <c r="E681" s="124"/>
      <c r="F681" s="109"/>
      <c r="G681" s="109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spans="1:26" ht="11.25" customHeight="1">
      <c r="A682" s="108"/>
      <c r="B682" s="108"/>
      <c r="C682" s="123"/>
      <c r="D682" s="123"/>
      <c r="E682" s="124"/>
      <c r="F682" s="109"/>
      <c r="G682" s="109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spans="1:26" ht="11.25" customHeight="1">
      <c r="A683" s="108"/>
      <c r="B683" s="108"/>
      <c r="C683" s="123"/>
      <c r="D683" s="123"/>
      <c r="E683" s="124"/>
      <c r="F683" s="109"/>
      <c r="G683" s="109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spans="1:26" ht="11.25" customHeight="1">
      <c r="A684" s="108"/>
      <c r="B684" s="108"/>
      <c r="C684" s="123"/>
      <c r="D684" s="123"/>
      <c r="E684" s="124"/>
      <c r="F684" s="109"/>
      <c r="G684" s="109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spans="1:26" ht="11.25" customHeight="1">
      <c r="A685" s="108"/>
      <c r="B685" s="108"/>
      <c r="C685" s="123"/>
      <c r="D685" s="123"/>
      <c r="E685" s="124"/>
      <c r="F685" s="109"/>
      <c r="G685" s="109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spans="1:26" ht="11.25" customHeight="1">
      <c r="A686" s="108"/>
      <c r="B686" s="108"/>
      <c r="C686" s="123"/>
      <c r="D686" s="123"/>
      <c r="E686" s="124"/>
      <c r="F686" s="109"/>
      <c r="G686" s="109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spans="1:26" ht="11.25" customHeight="1">
      <c r="A687" s="108"/>
      <c r="B687" s="108"/>
      <c r="C687" s="123"/>
      <c r="D687" s="123"/>
      <c r="E687" s="124"/>
      <c r="F687" s="109"/>
      <c r="G687" s="109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spans="1:26" ht="11.25" customHeight="1">
      <c r="A688" s="108"/>
      <c r="B688" s="108"/>
      <c r="C688" s="123"/>
      <c r="D688" s="123"/>
      <c r="E688" s="124"/>
      <c r="F688" s="109"/>
      <c r="G688" s="109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spans="1:26" ht="11.25" customHeight="1">
      <c r="A689" s="108"/>
      <c r="B689" s="108"/>
      <c r="C689" s="123"/>
      <c r="D689" s="123"/>
      <c r="E689" s="124"/>
      <c r="F689" s="109"/>
      <c r="G689" s="109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spans="1:26" ht="11.25" customHeight="1">
      <c r="A690" s="108"/>
      <c r="B690" s="108"/>
      <c r="C690" s="123"/>
      <c r="D690" s="123"/>
      <c r="E690" s="124"/>
      <c r="F690" s="109"/>
      <c r="G690" s="109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spans="1:26" ht="11.25" customHeight="1">
      <c r="A691" s="108"/>
      <c r="B691" s="108"/>
      <c r="C691" s="123"/>
      <c r="D691" s="123"/>
      <c r="E691" s="124"/>
      <c r="F691" s="109"/>
      <c r="G691" s="109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spans="1:26" ht="11.25" customHeight="1">
      <c r="A692" s="108"/>
      <c r="B692" s="108"/>
      <c r="C692" s="123"/>
      <c r="D692" s="123"/>
      <c r="E692" s="124"/>
      <c r="F692" s="109"/>
      <c r="G692" s="109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spans="1:26" ht="11.25" customHeight="1">
      <c r="A693" s="108"/>
      <c r="B693" s="108"/>
      <c r="C693" s="123"/>
      <c r="D693" s="123"/>
      <c r="E693" s="124"/>
      <c r="F693" s="109"/>
      <c r="G693" s="109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spans="1:26" ht="11.25" customHeight="1">
      <c r="A694" s="108"/>
      <c r="B694" s="108"/>
      <c r="C694" s="123"/>
      <c r="D694" s="123"/>
      <c r="E694" s="124"/>
      <c r="F694" s="109"/>
      <c r="G694" s="109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spans="1:26" ht="11.25" customHeight="1">
      <c r="A695" s="108"/>
      <c r="B695" s="108"/>
      <c r="C695" s="123"/>
      <c r="D695" s="123"/>
      <c r="E695" s="124"/>
      <c r="F695" s="109"/>
      <c r="G695" s="109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spans="1:26" ht="11.25" customHeight="1">
      <c r="A696" s="108"/>
      <c r="B696" s="108"/>
      <c r="C696" s="123"/>
      <c r="D696" s="123"/>
      <c r="E696" s="124"/>
      <c r="F696" s="109"/>
      <c r="G696" s="109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spans="1:26" ht="11.25" customHeight="1">
      <c r="A697" s="108"/>
      <c r="B697" s="108"/>
      <c r="C697" s="123"/>
      <c r="D697" s="123"/>
      <c r="E697" s="124"/>
      <c r="F697" s="109"/>
      <c r="G697" s="109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spans="1:26" ht="11.25" customHeight="1">
      <c r="A698" s="108"/>
      <c r="B698" s="108"/>
      <c r="C698" s="123"/>
      <c r="D698" s="123"/>
      <c r="E698" s="124"/>
      <c r="F698" s="109"/>
      <c r="G698" s="109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spans="1:26" ht="11.25" customHeight="1">
      <c r="A699" s="108"/>
      <c r="B699" s="108"/>
      <c r="C699" s="123"/>
      <c r="D699" s="123"/>
      <c r="E699" s="124"/>
      <c r="F699" s="109"/>
      <c r="G699" s="109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spans="1:26" ht="11.25" customHeight="1">
      <c r="A700" s="108"/>
      <c r="B700" s="108"/>
      <c r="C700" s="123"/>
      <c r="D700" s="123"/>
      <c r="E700" s="124"/>
      <c r="F700" s="109"/>
      <c r="G700" s="109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spans="1:26" ht="11.25" customHeight="1">
      <c r="A701" s="108"/>
      <c r="B701" s="108"/>
      <c r="C701" s="123"/>
      <c r="D701" s="123"/>
      <c r="E701" s="124"/>
      <c r="F701" s="109"/>
      <c r="G701" s="109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spans="1:26" ht="11.25" customHeight="1">
      <c r="A702" s="108"/>
      <c r="B702" s="108"/>
      <c r="C702" s="123"/>
      <c r="D702" s="123"/>
      <c r="E702" s="124"/>
      <c r="F702" s="109"/>
      <c r="G702" s="109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spans="1:26" ht="11.25" customHeight="1">
      <c r="A703" s="108"/>
      <c r="B703" s="108"/>
      <c r="C703" s="123"/>
      <c r="D703" s="123"/>
      <c r="E703" s="124"/>
      <c r="F703" s="109"/>
      <c r="G703" s="109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spans="1:26" ht="11.25" customHeight="1">
      <c r="A704" s="108"/>
      <c r="B704" s="108"/>
      <c r="C704" s="123"/>
      <c r="D704" s="123"/>
      <c r="E704" s="124"/>
      <c r="F704" s="109"/>
      <c r="G704" s="109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spans="1:26" ht="11.25" customHeight="1">
      <c r="A705" s="108"/>
      <c r="B705" s="108"/>
      <c r="C705" s="123"/>
      <c r="D705" s="123"/>
      <c r="E705" s="124"/>
      <c r="F705" s="109"/>
      <c r="G705" s="109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spans="1:26" ht="11.25" customHeight="1">
      <c r="A706" s="108"/>
      <c r="B706" s="108"/>
      <c r="C706" s="123"/>
      <c r="D706" s="123"/>
      <c r="E706" s="124"/>
      <c r="F706" s="109"/>
      <c r="G706" s="109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spans="1:26" ht="11.25" customHeight="1">
      <c r="A707" s="108"/>
      <c r="B707" s="108"/>
      <c r="C707" s="123"/>
      <c r="D707" s="123"/>
      <c r="E707" s="124"/>
      <c r="F707" s="109"/>
      <c r="G707" s="109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spans="1:26" ht="11.25" customHeight="1">
      <c r="A708" s="108"/>
      <c r="B708" s="108"/>
      <c r="C708" s="123"/>
      <c r="D708" s="123"/>
      <c r="E708" s="124"/>
      <c r="F708" s="109"/>
      <c r="G708" s="109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spans="1:26" ht="11.25" customHeight="1">
      <c r="A709" s="108"/>
      <c r="B709" s="108"/>
      <c r="C709" s="123"/>
      <c r="D709" s="123"/>
      <c r="E709" s="124"/>
      <c r="F709" s="109"/>
      <c r="G709" s="109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spans="1:26" ht="11.25" customHeight="1">
      <c r="A710" s="108"/>
      <c r="B710" s="108"/>
      <c r="C710" s="123"/>
      <c r="D710" s="123"/>
      <c r="E710" s="124"/>
      <c r="F710" s="109"/>
      <c r="G710" s="109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spans="1:26" ht="11.25" customHeight="1">
      <c r="A711" s="108"/>
      <c r="B711" s="108"/>
      <c r="C711" s="123"/>
      <c r="D711" s="123"/>
      <c r="E711" s="124"/>
      <c r="F711" s="109"/>
      <c r="G711" s="109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spans="1:26" ht="11.25" customHeight="1">
      <c r="A712" s="108"/>
      <c r="B712" s="108"/>
      <c r="C712" s="123"/>
      <c r="D712" s="123"/>
      <c r="E712" s="124"/>
      <c r="F712" s="109"/>
      <c r="G712" s="109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spans="1:26" ht="11.25" customHeight="1">
      <c r="A713" s="108"/>
      <c r="B713" s="108"/>
      <c r="C713" s="123"/>
      <c r="D713" s="123"/>
      <c r="E713" s="124"/>
      <c r="F713" s="109"/>
      <c r="G713" s="109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spans="1:26" ht="11.25" customHeight="1">
      <c r="A714" s="108"/>
      <c r="B714" s="108"/>
      <c r="C714" s="123"/>
      <c r="D714" s="123"/>
      <c r="E714" s="124"/>
      <c r="F714" s="109"/>
      <c r="G714" s="109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spans="1:26" ht="11.25" customHeight="1">
      <c r="A715" s="108"/>
      <c r="B715" s="108"/>
      <c r="C715" s="123"/>
      <c r="D715" s="123"/>
      <c r="E715" s="124"/>
      <c r="F715" s="109"/>
      <c r="G715" s="109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spans="1:26" ht="11.25" customHeight="1">
      <c r="A716" s="108"/>
      <c r="B716" s="108"/>
      <c r="C716" s="123"/>
      <c r="D716" s="123"/>
      <c r="E716" s="124"/>
      <c r="F716" s="109"/>
      <c r="G716" s="109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spans="1:26" ht="11.25" customHeight="1">
      <c r="A717" s="108"/>
      <c r="B717" s="108"/>
      <c r="C717" s="123"/>
      <c r="D717" s="123"/>
      <c r="E717" s="124"/>
      <c r="F717" s="109"/>
      <c r="G717" s="109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spans="1:26" ht="11.25" customHeight="1">
      <c r="A718" s="108"/>
      <c r="B718" s="108"/>
      <c r="C718" s="123"/>
      <c r="D718" s="123"/>
      <c r="E718" s="124"/>
      <c r="F718" s="109"/>
      <c r="G718" s="109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spans="1:26" ht="11.25" customHeight="1">
      <c r="A719" s="108"/>
      <c r="B719" s="108"/>
      <c r="C719" s="123"/>
      <c r="D719" s="123"/>
      <c r="E719" s="124"/>
      <c r="F719" s="109"/>
      <c r="G719" s="109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spans="1:26" ht="11.25" customHeight="1">
      <c r="A720" s="108"/>
      <c r="B720" s="108"/>
      <c r="C720" s="123"/>
      <c r="D720" s="123"/>
      <c r="E720" s="124"/>
      <c r="F720" s="109"/>
      <c r="G720" s="109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spans="1:26" ht="11.25" customHeight="1">
      <c r="A721" s="108"/>
      <c r="B721" s="108"/>
      <c r="C721" s="123"/>
      <c r="D721" s="123"/>
      <c r="E721" s="124"/>
      <c r="F721" s="109"/>
      <c r="G721" s="109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spans="1:26" ht="11.25" customHeight="1">
      <c r="A722" s="108"/>
      <c r="B722" s="108"/>
      <c r="C722" s="123"/>
      <c r="D722" s="123"/>
      <c r="E722" s="124"/>
      <c r="F722" s="109"/>
      <c r="G722" s="109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spans="1:26" ht="11.25" customHeight="1">
      <c r="A723" s="108"/>
      <c r="B723" s="108"/>
      <c r="C723" s="123"/>
      <c r="D723" s="123"/>
      <c r="E723" s="124"/>
      <c r="F723" s="109"/>
      <c r="G723" s="109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spans="1:26" ht="11.25" customHeight="1">
      <c r="A724" s="108"/>
      <c r="B724" s="108"/>
      <c r="C724" s="123"/>
      <c r="D724" s="123"/>
      <c r="E724" s="124"/>
      <c r="F724" s="109"/>
      <c r="G724" s="109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spans="1:26" ht="11.25" customHeight="1">
      <c r="A725" s="108"/>
      <c r="B725" s="108"/>
      <c r="C725" s="123"/>
      <c r="D725" s="123"/>
      <c r="E725" s="124"/>
      <c r="F725" s="109"/>
      <c r="G725" s="109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spans="1:26" ht="11.25" customHeight="1">
      <c r="A726" s="108"/>
      <c r="B726" s="108"/>
      <c r="C726" s="123"/>
      <c r="D726" s="123"/>
      <c r="E726" s="124"/>
      <c r="F726" s="109"/>
      <c r="G726" s="109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spans="1:26" ht="11.25" customHeight="1">
      <c r="A727" s="108"/>
      <c r="B727" s="108"/>
      <c r="C727" s="123"/>
      <c r="D727" s="123"/>
      <c r="E727" s="124"/>
      <c r="F727" s="109"/>
      <c r="G727" s="109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spans="1:26" ht="11.25" customHeight="1">
      <c r="A728" s="108"/>
      <c r="B728" s="108"/>
      <c r="C728" s="123"/>
      <c r="D728" s="123"/>
      <c r="E728" s="124"/>
      <c r="F728" s="109"/>
      <c r="G728" s="109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spans="1:26" ht="11.25" customHeight="1">
      <c r="A729" s="108"/>
      <c r="B729" s="108"/>
      <c r="C729" s="123"/>
      <c r="D729" s="123"/>
      <c r="E729" s="124"/>
      <c r="F729" s="109"/>
      <c r="G729" s="109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spans="1:26" ht="11.25" customHeight="1">
      <c r="A730" s="108"/>
      <c r="B730" s="108"/>
      <c r="C730" s="123"/>
      <c r="D730" s="123"/>
      <c r="E730" s="124"/>
      <c r="F730" s="109"/>
      <c r="G730" s="109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spans="1:26" ht="11.25" customHeight="1">
      <c r="A731" s="108"/>
      <c r="B731" s="108"/>
      <c r="C731" s="123"/>
      <c r="D731" s="123"/>
      <c r="E731" s="124"/>
      <c r="F731" s="109"/>
      <c r="G731" s="109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spans="1:26" ht="11.25" customHeight="1">
      <c r="A732" s="108"/>
      <c r="B732" s="108"/>
      <c r="C732" s="123"/>
      <c r="D732" s="123"/>
      <c r="E732" s="124"/>
      <c r="F732" s="109"/>
      <c r="G732" s="109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spans="1:26" ht="11.25" customHeight="1">
      <c r="A733" s="108"/>
      <c r="B733" s="108"/>
      <c r="C733" s="123"/>
      <c r="D733" s="123"/>
      <c r="E733" s="124"/>
      <c r="F733" s="109"/>
      <c r="G733" s="109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spans="1:26" ht="11.25" customHeight="1">
      <c r="A734" s="108"/>
      <c r="B734" s="108"/>
      <c r="C734" s="123"/>
      <c r="D734" s="123"/>
      <c r="E734" s="124"/>
      <c r="F734" s="109"/>
      <c r="G734" s="109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spans="1:26" ht="11.25" customHeight="1">
      <c r="A735" s="108"/>
      <c r="B735" s="108"/>
      <c r="C735" s="123"/>
      <c r="D735" s="123"/>
      <c r="E735" s="124"/>
      <c r="F735" s="109"/>
      <c r="G735" s="109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spans="1:26" ht="11.25" customHeight="1">
      <c r="A736" s="108"/>
      <c r="B736" s="108"/>
      <c r="C736" s="123"/>
      <c r="D736" s="123"/>
      <c r="E736" s="124"/>
      <c r="F736" s="109"/>
      <c r="G736" s="109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spans="1:26" ht="11.25" customHeight="1">
      <c r="A737" s="108"/>
      <c r="B737" s="108"/>
      <c r="C737" s="123"/>
      <c r="D737" s="123"/>
      <c r="E737" s="124"/>
      <c r="F737" s="109"/>
      <c r="G737" s="109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spans="1:26" ht="11.25" customHeight="1">
      <c r="A738" s="108"/>
      <c r="B738" s="108"/>
      <c r="C738" s="123"/>
      <c r="D738" s="123"/>
      <c r="E738" s="124"/>
      <c r="F738" s="109"/>
      <c r="G738" s="109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spans="1:26" ht="11.25" customHeight="1">
      <c r="A739" s="108"/>
      <c r="B739" s="108"/>
      <c r="C739" s="123"/>
      <c r="D739" s="123"/>
      <c r="E739" s="124"/>
      <c r="F739" s="109"/>
      <c r="G739" s="109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spans="1:26" ht="11.25" customHeight="1">
      <c r="A740" s="108"/>
      <c r="B740" s="108"/>
      <c r="C740" s="123"/>
      <c r="D740" s="123"/>
      <c r="E740" s="124"/>
      <c r="F740" s="109"/>
      <c r="G740" s="109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spans="1:26" ht="11.25" customHeight="1">
      <c r="A741" s="108"/>
      <c r="B741" s="108"/>
      <c r="C741" s="123"/>
      <c r="D741" s="123"/>
      <c r="E741" s="124"/>
      <c r="F741" s="109"/>
      <c r="G741" s="109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spans="1:26" ht="11.25" customHeight="1">
      <c r="A742" s="108"/>
      <c r="B742" s="108"/>
      <c r="C742" s="123"/>
      <c r="D742" s="123"/>
      <c r="E742" s="124"/>
      <c r="F742" s="109"/>
      <c r="G742" s="109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spans="1:26" ht="11.25" customHeight="1">
      <c r="A743" s="108"/>
      <c r="B743" s="108"/>
      <c r="C743" s="123"/>
      <c r="D743" s="123"/>
      <c r="E743" s="124"/>
      <c r="F743" s="109"/>
      <c r="G743" s="109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spans="1:26" ht="11.25" customHeight="1">
      <c r="A744" s="108"/>
      <c r="B744" s="108"/>
      <c r="C744" s="123"/>
      <c r="D744" s="123"/>
      <c r="E744" s="124"/>
      <c r="F744" s="109"/>
      <c r="G744" s="109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spans="1:26" ht="11.25" customHeight="1">
      <c r="A745" s="108"/>
      <c r="B745" s="108"/>
      <c r="C745" s="123"/>
      <c r="D745" s="123"/>
      <c r="E745" s="124"/>
      <c r="F745" s="109"/>
      <c r="G745" s="109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spans="1:26" ht="11.25" customHeight="1">
      <c r="A746" s="108"/>
      <c r="B746" s="108"/>
      <c r="C746" s="123"/>
      <c r="D746" s="123"/>
      <c r="E746" s="124"/>
      <c r="F746" s="109"/>
      <c r="G746" s="109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spans="1:26" ht="11.25" customHeight="1">
      <c r="A747" s="108"/>
      <c r="B747" s="108"/>
      <c r="C747" s="123"/>
      <c r="D747" s="123"/>
      <c r="E747" s="124"/>
      <c r="F747" s="109"/>
      <c r="G747" s="109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spans="1:26" ht="11.25" customHeight="1">
      <c r="A748" s="108"/>
      <c r="B748" s="108"/>
      <c r="C748" s="123"/>
      <c r="D748" s="123"/>
      <c r="E748" s="124"/>
      <c r="F748" s="109"/>
      <c r="G748" s="109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spans="1:26" ht="11.25" customHeight="1">
      <c r="A749" s="108"/>
      <c r="B749" s="108"/>
      <c r="C749" s="123"/>
      <c r="D749" s="123"/>
      <c r="E749" s="124"/>
      <c r="F749" s="109"/>
      <c r="G749" s="109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spans="1:26" ht="11.25" customHeight="1">
      <c r="A750" s="108"/>
      <c r="B750" s="108"/>
      <c r="C750" s="123"/>
      <c r="D750" s="123"/>
      <c r="E750" s="124"/>
      <c r="F750" s="109"/>
      <c r="G750" s="109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spans="1:26" ht="11.25" customHeight="1">
      <c r="A751" s="108"/>
      <c r="B751" s="108"/>
      <c r="C751" s="123"/>
      <c r="D751" s="123"/>
      <c r="E751" s="124"/>
      <c r="F751" s="109"/>
      <c r="G751" s="109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spans="1:26" ht="11.25" customHeight="1">
      <c r="A752" s="108"/>
      <c r="B752" s="108"/>
      <c r="C752" s="123"/>
      <c r="D752" s="123"/>
      <c r="E752" s="124"/>
      <c r="F752" s="109"/>
      <c r="G752" s="109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spans="1:26" ht="11.25" customHeight="1">
      <c r="A753" s="108"/>
      <c r="B753" s="108"/>
      <c r="C753" s="123"/>
      <c r="D753" s="123"/>
      <c r="E753" s="124"/>
      <c r="F753" s="109"/>
      <c r="G753" s="109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spans="1:26" ht="11.25" customHeight="1">
      <c r="A754" s="108"/>
      <c r="B754" s="108"/>
      <c r="C754" s="123"/>
      <c r="D754" s="123"/>
      <c r="E754" s="124"/>
      <c r="F754" s="109"/>
      <c r="G754" s="109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spans="1:26" ht="11.25" customHeight="1">
      <c r="A755" s="108"/>
      <c r="B755" s="108"/>
      <c r="C755" s="123"/>
      <c r="D755" s="123"/>
      <c r="E755" s="124"/>
      <c r="F755" s="109"/>
      <c r="G755" s="109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spans="1:26" ht="11.25" customHeight="1">
      <c r="A756" s="108"/>
      <c r="B756" s="108"/>
      <c r="C756" s="123"/>
      <c r="D756" s="123"/>
      <c r="E756" s="124"/>
      <c r="F756" s="109"/>
      <c r="G756" s="109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spans="1:26" ht="11.25" customHeight="1">
      <c r="A757" s="108"/>
      <c r="B757" s="108"/>
      <c r="C757" s="123"/>
      <c r="D757" s="123"/>
      <c r="E757" s="124"/>
      <c r="F757" s="109"/>
      <c r="G757" s="109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spans="1:26" ht="11.25" customHeight="1">
      <c r="A758" s="108"/>
      <c r="B758" s="108"/>
      <c r="C758" s="123"/>
      <c r="D758" s="123"/>
      <c r="E758" s="124"/>
      <c r="F758" s="109"/>
      <c r="G758" s="109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spans="1:26" ht="11.25" customHeight="1">
      <c r="A759" s="108"/>
      <c r="B759" s="108"/>
      <c r="C759" s="123"/>
      <c r="D759" s="123"/>
      <c r="E759" s="124"/>
      <c r="F759" s="109"/>
      <c r="G759" s="109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spans="1:26" ht="11.25" customHeight="1">
      <c r="A760" s="108"/>
      <c r="B760" s="108"/>
      <c r="C760" s="123"/>
      <c r="D760" s="123"/>
      <c r="E760" s="124"/>
      <c r="F760" s="109"/>
      <c r="G760" s="109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spans="1:26" ht="11.25" customHeight="1">
      <c r="A761" s="108"/>
      <c r="B761" s="108"/>
      <c r="C761" s="123"/>
      <c r="D761" s="123"/>
      <c r="E761" s="124"/>
      <c r="F761" s="109"/>
      <c r="G761" s="109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spans="1:26" ht="11.25" customHeight="1">
      <c r="A762" s="108"/>
      <c r="B762" s="108"/>
      <c r="C762" s="123"/>
      <c r="D762" s="123"/>
      <c r="E762" s="124"/>
      <c r="F762" s="109"/>
      <c r="G762" s="109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spans="1:26" ht="11.25" customHeight="1">
      <c r="A763" s="108"/>
      <c r="B763" s="108"/>
      <c r="C763" s="123"/>
      <c r="D763" s="123"/>
      <c r="E763" s="124"/>
      <c r="F763" s="109"/>
      <c r="G763" s="109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spans="1:26" ht="11.25" customHeight="1">
      <c r="A764" s="108"/>
      <c r="B764" s="108"/>
      <c r="C764" s="123"/>
      <c r="D764" s="123"/>
      <c r="E764" s="124"/>
      <c r="F764" s="109"/>
      <c r="G764" s="109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spans="1:26" ht="11.25" customHeight="1">
      <c r="A765" s="108"/>
      <c r="B765" s="108"/>
      <c r="C765" s="123"/>
      <c r="D765" s="123"/>
      <c r="E765" s="124"/>
      <c r="F765" s="109"/>
      <c r="G765" s="109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spans="1:26" ht="11.25" customHeight="1">
      <c r="A766" s="108"/>
      <c r="B766" s="108"/>
      <c r="C766" s="123"/>
      <c r="D766" s="123"/>
      <c r="E766" s="124"/>
      <c r="F766" s="109"/>
      <c r="G766" s="109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spans="1:26" ht="11.25" customHeight="1">
      <c r="A767" s="108"/>
      <c r="B767" s="108"/>
      <c r="C767" s="123"/>
      <c r="D767" s="123"/>
      <c r="E767" s="124"/>
      <c r="F767" s="109"/>
      <c r="G767" s="109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spans="1:26" ht="11.25" customHeight="1">
      <c r="A768" s="108"/>
      <c r="B768" s="108"/>
      <c r="C768" s="123"/>
      <c r="D768" s="123"/>
      <c r="E768" s="124"/>
      <c r="F768" s="109"/>
      <c r="G768" s="109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spans="1:26" ht="11.25" customHeight="1">
      <c r="A769" s="108"/>
      <c r="B769" s="108"/>
      <c r="C769" s="123"/>
      <c r="D769" s="123"/>
      <c r="E769" s="124"/>
      <c r="F769" s="109"/>
      <c r="G769" s="109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spans="1:26" ht="11.25" customHeight="1">
      <c r="A770" s="108"/>
      <c r="B770" s="108"/>
      <c r="C770" s="123"/>
      <c r="D770" s="123"/>
      <c r="E770" s="124"/>
      <c r="F770" s="109"/>
      <c r="G770" s="109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spans="1:26" ht="11.25" customHeight="1">
      <c r="A771" s="108"/>
      <c r="B771" s="108"/>
      <c r="C771" s="123"/>
      <c r="D771" s="123"/>
      <c r="E771" s="124"/>
      <c r="F771" s="109"/>
      <c r="G771" s="109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spans="1:26" ht="11.25" customHeight="1">
      <c r="A772" s="108"/>
      <c r="B772" s="108"/>
      <c r="C772" s="123"/>
      <c r="D772" s="123"/>
      <c r="E772" s="124"/>
      <c r="F772" s="109"/>
      <c r="G772" s="109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spans="1:26" ht="11.25" customHeight="1">
      <c r="A773" s="108"/>
      <c r="B773" s="108"/>
      <c r="C773" s="123"/>
      <c r="D773" s="123"/>
      <c r="E773" s="124"/>
      <c r="F773" s="109"/>
      <c r="G773" s="109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spans="1:26" ht="11.25" customHeight="1">
      <c r="A774" s="108"/>
      <c r="B774" s="108"/>
      <c r="C774" s="123"/>
      <c r="D774" s="123"/>
      <c r="E774" s="124"/>
      <c r="F774" s="109"/>
      <c r="G774" s="109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spans="1:26" ht="11.25" customHeight="1">
      <c r="A775" s="108"/>
      <c r="B775" s="108"/>
      <c r="C775" s="123"/>
      <c r="D775" s="123"/>
      <c r="E775" s="124"/>
      <c r="F775" s="109"/>
      <c r="G775" s="109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spans="1:26" ht="11.25" customHeight="1">
      <c r="A776" s="108"/>
      <c r="B776" s="108"/>
      <c r="C776" s="123"/>
      <c r="D776" s="123"/>
      <c r="E776" s="124"/>
      <c r="F776" s="109"/>
      <c r="G776" s="109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spans="1:26" ht="11.25" customHeight="1">
      <c r="A777" s="108"/>
      <c r="B777" s="108"/>
      <c r="C777" s="123"/>
      <c r="D777" s="123"/>
      <c r="E777" s="124"/>
      <c r="F777" s="109"/>
      <c r="G777" s="109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spans="1:26" ht="11.25" customHeight="1">
      <c r="A778" s="108"/>
      <c r="B778" s="108"/>
      <c r="C778" s="123"/>
      <c r="D778" s="123"/>
      <c r="E778" s="124"/>
      <c r="F778" s="109"/>
      <c r="G778" s="109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spans="1:26" ht="11.25" customHeight="1">
      <c r="A779" s="108"/>
      <c r="B779" s="108"/>
      <c r="C779" s="123"/>
      <c r="D779" s="123"/>
      <c r="E779" s="124"/>
      <c r="F779" s="109"/>
      <c r="G779" s="109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spans="1:26" ht="11.25" customHeight="1">
      <c r="A780" s="108"/>
      <c r="B780" s="108"/>
      <c r="C780" s="123"/>
      <c r="D780" s="123"/>
      <c r="E780" s="124"/>
      <c r="F780" s="109"/>
      <c r="G780" s="109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spans="1:26" ht="11.25" customHeight="1">
      <c r="A781" s="108"/>
      <c r="B781" s="108"/>
      <c r="C781" s="123"/>
      <c r="D781" s="123"/>
      <c r="E781" s="124"/>
      <c r="F781" s="109"/>
      <c r="G781" s="109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spans="1:26" ht="11.25" customHeight="1">
      <c r="A782" s="108"/>
      <c r="B782" s="108"/>
      <c r="C782" s="123"/>
      <c r="D782" s="123"/>
      <c r="E782" s="124"/>
      <c r="F782" s="109"/>
      <c r="G782" s="109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spans="1:26" ht="11.25" customHeight="1">
      <c r="A783" s="108"/>
      <c r="B783" s="108"/>
      <c r="C783" s="123"/>
      <c r="D783" s="123"/>
      <c r="E783" s="124"/>
      <c r="F783" s="109"/>
      <c r="G783" s="109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spans="1:26" ht="11.25" customHeight="1">
      <c r="A784" s="108"/>
      <c r="B784" s="108"/>
      <c r="C784" s="123"/>
      <c r="D784" s="123"/>
      <c r="E784" s="124"/>
      <c r="F784" s="109"/>
      <c r="G784" s="109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spans="1:26" ht="11.25" customHeight="1">
      <c r="A785" s="108"/>
      <c r="B785" s="108"/>
      <c r="C785" s="123"/>
      <c r="D785" s="123"/>
      <c r="E785" s="124"/>
      <c r="F785" s="109"/>
      <c r="G785" s="109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spans="1:26" ht="11.25" customHeight="1">
      <c r="A786" s="108"/>
      <c r="B786" s="108"/>
      <c r="C786" s="123"/>
      <c r="D786" s="123"/>
      <c r="E786" s="124"/>
      <c r="F786" s="109"/>
      <c r="G786" s="109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spans="1:26" ht="11.25" customHeight="1">
      <c r="A787" s="108"/>
      <c r="B787" s="108"/>
      <c r="C787" s="123"/>
      <c r="D787" s="123"/>
      <c r="E787" s="124"/>
      <c r="F787" s="109"/>
      <c r="G787" s="109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spans="1:26" ht="11.25" customHeight="1">
      <c r="A788" s="108"/>
      <c r="B788" s="108"/>
      <c r="C788" s="123"/>
      <c r="D788" s="123"/>
      <c r="E788" s="124"/>
      <c r="F788" s="109"/>
      <c r="G788" s="109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spans="1:26" ht="11.25" customHeight="1">
      <c r="A789" s="108"/>
      <c r="B789" s="108"/>
      <c r="C789" s="123"/>
      <c r="D789" s="123"/>
      <c r="E789" s="124"/>
      <c r="F789" s="109"/>
      <c r="G789" s="109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spans="1:26" ht="11.25" customHeight="1">
      <c r="A790" s="108"/>
      <c r="B790" s="108"/>
      <c r="C790" s="123"/>
      <c r="D790" s="123"/>
      <c r="E790" s="124"/>
      <c r="F790" s="109"/>
      <c r="G790" s="109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spans="1:26" ht="11.25" customHeight="1">
      <c r="A791" s="108"/>
      <c r="B791" s="108"/>
      <c r="C791" s="123"/>
      <c r="D791" s="123"/>
      <c r="E791" s="124"/>
      <c r="F791" s="109"/>
      <c r="G791" s="109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spans="1:26" ht="11.25" customHeight="1">
      <c r="A792" s="108"/>
      <c r="B792" s="108"/>
      <c r="C792" s="123"/>
      <c r="D792" s="123"/>
      <c r="E792" s="124"/>
      <c r="F792" s="109"/>
      <c r="G792" s="109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spans="1:26" ht="11.25" customHeight="1">
      <c r="A793" s="108"/>
      <c r="B793" s="108"/>
      <c r="C793" s="123"/>
      <c r="D793" s="123"/>
      <c r="E793" s="124"/>
      <c r="F793" s="109"/>
      <c r="G793" s="109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spans="1:26" ht="11.25" customHeight="1">
      <c r="A794" s="108"/>
      <c r="B794" s="108"/>
      <c r="C794" s="123"/>
      <c r="D794" s="123"/>
      <c r="E794" s="124"/>
      <c r="F794" s="109"/>
      <c r="G794" s="109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spans="1:26" ht="11.25" customHeight="1">
      <c r="A795" s="108"/>
      <c r="B795" s="108"/>
      <c r="C795" s="123"/>
      <c r="D795" s="123"/>
      <c r="E795" s="124"/>
      <c r="F795" s="109"/>
      <c r="G795" s="109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spans="1:26" ht="11.25" customHeight="1">
      <c r="A796" s="108"/>
      <c r="B796" s="108"/>
      <c r="C796" s="123"/>
      <c r="D796" s="123"/>
      <c r="E796" s="124"/>
      <c r="F796" s="109"/>
      <c r="G796" s="109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spans="1:26" ht="11.25" customHeight="1">
      <c r="A797" s="108"/>
      <c r="B797" s="108"/>
      <c r="C797" s="123"/>
      <c r="D797" s="123"/>
      <c r="E797" s="124"/>
      <c r="F797" s="109"/>
      <c r="G797" s="109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spans="1:26" ht="11.25" customHeight="1">
      <c r="A798" s="108"/>
      <c r="B798" s="108"/>
      <c r="C798" s="123"/>
      <c r="D798" s="123"/>
      <c r="E798" s="124"/>
      <c r="F798" s="109"/>
      <c r="G798" s="109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spans="1:26" ht="11.25" customHeight="1">
      <c r="A799" s="108"/>
      <c r="B799" s="108"/>
      <c r="C799" s="123"/>
      <c r="D799" s="123"/>
      <c r="E799" s="124"/>
      <c r="F799" s="109"/>
      <c r="G799" s="109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spans="1:26" ht="11.25" customHeight="1">
      <c r="A800" s="108"/>
      <c r="B800" s="108"/>
      <c r="C800" s="123"/>
      <c r="D800" s="123"/>
      <c r="E800" s="124"/>
      <c r="F800" s="109"/>
      <c r="G800" s="109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spans="1:26" ht="11.25" customHeight="1">
      <c r="A801" s="108"/>
      <c r="B801" s="108"/>
      <c r="C801" s="123"/>
      <c r="D801" s="123"/>
      <c r="E801" s="124"/>
      <c r="F801" s="109"/>
      <c r="G801" s="109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spans="1:26" ht="11.25" customHeight="1">
      <c r="A802" s="108"/>
      <c r="B802" s="108"/>
      <c r="C802" s="123"/>
      <c r="D802" s="123"/>
      <c r="E802" s="124"/>
      <c r="F802" s="109"/>
      <c r="G802" s="109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spans="1:26" ht="11.25" customHeight="1">
      <c r="A803" s="108"/>
      <c r="B803" s="108"/>
      <c r="C803" s="123"/>
      <c r="D803" s="123"/>
      <c r="E803" s="124"/>
      <c r="F803" s="109"/>
      <c r="G803" s="109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spans="1:26" ht="11.25" customHeight="1">
      <c r="A804" s="108"/>
      <c r="B804" s="108"/>
      <c r="C804" s="123"/>
      <c r="D804" s="123"/>
      <c r="E804" s="124"/>
      <c r="F804" s="109"/>
      <c r="G804" s="109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spans="1:26" ht="11.25" customHeight="1">
      <c r="A805" s="108"/>
      <c r="B805" s="108"/>
      <c r="C805" s="123"/>
      <c r="D805" s="123"/>
      <c r="E805" s="124"/>
      <c r="F805" s="109"/>
      <c r="G805" s="109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spans="1:26" ht="11.25" customHeight="1">
      <c r="A806" s="108"/>
      <c r="B806" s="108"/>
      <c r="C806" s="123"/>
      <c r="D806" s="123"/>
      <c r="E806" s="124"/>
      <c r="F806" s="109"/>
      <c r="G806" s="109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spans="1:26" ht="11.25" customHeight="1">
      <c r="A807" s="108"/>
      <c r="B807" s="108"/>
      <c r="C807" s="123"/>
      <c r="D807" s="123"/>
      <c r="E807" s="124"/>
      <c r="F807" s="109"/>
      <c r="G807" s="109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spans="1:26" ht="11.25" customHeight="1">
      <c r="A808" s="108"/>
      <c r="B808" s="108"/>
      <c r="C808" s="123"/>
      <c r="D808" s="123"/>
      <c r="E808" s="124"/>
      <c r="F808" s="109"/>
      <c r="G808" s="109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spans="1:26" ht="11.25" customHeight="1">
      <c r="A809" s="108"/>
      <c r="B809" s="108"/>
      <c r="C809" s="123"/>
      <c r="D809" s="123"/>
      <c r="E809" s="124"/>
      <c r="F809" s="109"/>
      <c r="G809" s="109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spans="1:26" ht="11.25" customHeight="1">
      <c r="A810" s="108"/>
      <c r="B810" s="108"/>
      <c r="C810" s="123"/>
      <c r="D810" s="123"/>
      <c r="E810" s="124"/>
      <c r="F810" s="109"/>
      <c r="G810" s="109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spans="1:26" ht="11.25" customHeight="1">
      <c r="A811" s="108"/>
      <c r="B811" s="108"/>
      <c r="C811" s="123"/>
      <c r="D811" s="123"/>
      <c r="E811" s="124"/>
      <c r="F811" s="109"/>
      <c r="G811" s="109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spans="1:26" ht="11.25" customHeight="1">
      <c r="A812" s="108"/>
      <c r="B812" s="108"/>
      <c r="C812" s="123"/>
      <c r="D812" s="123"/>
      <c r="E812" s="124"/>
      <c r="F812" s="109"/>
      <c r="G812" s="109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spans="1:26" ht="11.25" customHeight="1">
      <c r="A813" s="108"/>
      <c r="B813" s="108"/>
      <c r="C813" s="123"/>
      <c r="D813" s="123"/>
      <c r="E813" s="124"/>
      <c r="F813" s="109"/>
      <c r="G813" s="109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spans="1:26" ht="11.25" customHeight="1">
      <c r="A814" s="108"/>
      <c r="B814" s="108"/>
      <c r="C814" s="123"/>
      <c r="D814" s="123"/>
      <c r="E814" s="124"/>
      <c r="F814" s="109"/>
      <c r="G814" s="109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spans="1:26" ht="11.25" customHeight="1">
      <c r="A815" s="108"/>
      <c r="B815" s="108"/>
      <c r="C815" s="123"/>
      <c r="D815" s="123"/>
      <c r="E815" s="124"/>
      <c r="F815" s="109"/>
      <c r="G815" s="109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spans="1:26" ht="11.25" customHeight="1">
      <c r="A816" s="108"/>
      <c r="B816" s="108"/>
      <c r="C816" s="123"/>
      <c r="D816" s="123"/>
      <c r="E816" s="124"/>
      <c r="F816" s="109"/>
      <c r="G816" s="109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spans="1:26" ht="11.25" customHeight="1">
      <c r="A817" s="108"/>
      <c r="B817" s="108"/>
      <c r="C817" s="123"/>
      <c r="D817" s="123"/>
      <c r="E817" s="124"/>
      <c r="F817" s="109"/>
      <c r="G817" s="109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spans="1:26" ht="11.25" customHeight="1">
      <c r="A818" s="108"/>
      <c r="B818" s="108"/>
      <c r="C818" s="123"/>
      <c r="D818" s="123"/>
      <c r="E818" s="124"/>
      <c r="F818" s="109"/>
      <c r="G818" s="109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spans="1:26" ht="11.25" customHeight="1">
      <c r="A819" s="108"/>
      <c r="B819" s="108"/>
      <c r="C819" s="123"/>
      <c r="D819" s="123"/>
      <c r="E819" s="124"/>
      <c r="F819" s="109"/>
      <c r="G819" s="109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spans="1:26" ht="11.25" customHeight="1">
      <c r="A820" s="108"/>
      <c r="B820" s="108"/>
      <c r="C820" s="123"/>
      <c r="D820" s="123"/>
      <c r="E820" s="124"/>
      <c r="F820" s="109"/>
      <c r="G820" s="109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spans="1:26" ht="11.25" customHeight="1">
      <c r="A821" s="108"/>
      <c r="B821" s="108"/>
      <c r="C821" s="123"/>
      <c r="D821" s="123"/>
      <c r="E821" s="124"/>
      <c r="F821" s="109"/>
      <c r="G821" s="109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spans="1:26" ht="11.25" customHeight="1">
      <c r="A822" s="108"/>
      <c r="B822" s="108"/>
      <c r="C822" s="123"/>
      <c r="D822" s="123"/>
      <c r="E822" s="124"/>
      <c r="F822" s="109"/>
      <c r="G822" s="109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spans="1:26" ht="11.25" customHeight="1">
      <c r="A823" s="108"/>
      <c r="B823" s="108"/>
      <c r="C823" s="123"/>
      <c r="D823" s="123"/>
      <c r="E823" s="124"/>
      <c r="F823" s="109"/>
      <c r="G823" s="109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spans="1:26" ht="11.25" customHeight="1">
      <c r="A824" s="108"/>
      <c r="B824" s="108"/>
      <c r="C824" s="123"/>
      <c r="D824" s="123"/>
      <c r="E824" s="124"/>
      <c r="F824" s="109"/>
      <c r="G824" s="109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spans="1:26" ht="11.25" customHeight="1">
      <c r="A825" s="108"/>
      <c r="B825" s="108"/>
      <c r="C825" s="123"/>
      <c r="D825" s="123"/>
      <c r="E825" s="124"/>
      <c r="F825" s="109"/>
      <c r="G825" s="109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spans="1:26" ht="11.25" customHeight="1">
      <c r="A826" s="108"/>
      <c r="B826" s="108"/>
      <c r="C826" s="123"/>
      <c r="D826" s="123"/>
      <c r="E826" s="124"/>
      <c r="F826" s="109"/>
      <c r="G826" s="109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spans="1:26" ht="11.25" customHeight="1">
      <c r="A827" s="108"/>
      <c r="B827" s="108"/>
      <c r="C827" s="123"/>
      <c r="D827" s="123"/>
      <c r="E827" s="124"/>
      <c r="F827" s="109"/>
      <c r="G827" s="109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spans="1:26" ht="11.25" customHeight="1">
      <c r="A828" s="108"/>
      <c r="B828" s="108"/>
      <c r="C828" s="123"/>
      <c r="D828" s="123"/>
      <c r="E828" s="124"/>
      <c r="F828" s="109"/>
      <c r="G828" s="109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spans="1:26" ht="11.25" customHeight="1">
      <c r="A829" s="108"/>
      <c r="B829" s="108"/>
      <c r="C829" s="123"/>
      <c r="D829" s="123"/>
      <c r="E829" s="124"/>
      <c r="F829" s="109"/>
      <c r="G829" s="109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spans="1:26" ht="11.25" customHeight="1">
      <c r="A830" s="108"/>
      <c r="B830" s="108"/>
      <c r="C830" s="123"/>
      <c r="D830" s="123"/>
      <c r="E830" s="124"/>
      <c r="F830" s="109"/>
      <c r="G830" s="109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spans="1:26" ht="11.25" customHeight="1">
      <c r="A831" s="108"/>
      <c r="B831" s="108"/>
      <c r="C831" s="123"/>
      <c r="D831" s="123"/>
      <c r="E831" s="124"/>
      <c r="F831" s="109"/>
      <c r="G831" s="109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spans="1:26" ht="11.25" customHeight="1">
      <c r="A832" s="108"/>
      <c r="B832" s="108"/>
      <c r="C832" s="123"/>
      <c r="D832" s="123"/>
      <c r="E832" s="124"/>
      <c r="F832" s="109"/>
      <c r="G832" s="109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spans="1:26" ht="11.25" customHeight="1">
      <c r="A833" s="108"/>
      <c r="B833" s="108"/>
      <c r="C833" s="123"/>
      <c r="D833" s="123"/>
      <c r="E833" s="124"/>
      <c r="F833" s="109"/>
      <c r="G833" s="109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spans="1:26" ht="11.25" customHeight="1">
      <c r="A834" s="108"/>
      <c r="B834" s="108"/>
      <c r="C834" s="123"/>
      <c r="D834" s="123"/>
      <c r="E834" s="124"/>
      <c r="F834" s="109"/>
      <c r="G834" s="109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spans="1:26" ht="11.25" customHeight="1">
      <c r="A835" s="108"/>
      <c r="B835" s="108"/>
      <c r="C835" s="123"/>
      <c r="D835" s="123"/>
      <c r="E835" s="124"/>
      <c r="F835" s="109"/>
      <c r="G835" s="109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spans="1:26" ht="11.25" customHeight="1">
      <c r="A836" s="108"/>
      <c r="B836" s="108"/>
      <c r="C836" s="123"/>
      <c r="D836" s="123"/>
      <c r="E836" s="124"/>
      <c r="F836" s="109"/>
      <c r="G836" s="109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spans="1:26" ht="11.25" customHeight="1">
      <c r="A837" s="108"/>
      <c r="B837" s="108"/>
      <c r="C837" s="123"/>
      <c r="D837" s="123"/>
      <c r="E837" s="124"/>
      <c r="F837" s="109"/>
      <c r="G837" s="109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spans="1:26" ht="11.25" customHeight="1">
      <c r="A838" s="108"/>
      <c r="B838" s="108"/>
      <c r="C838" s="123"/>
      <c r="D838" s="123"/>
      <c r="E838" s="124"/>
      <c r="F838" s="109"/>
      <c r="G838" s="109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spans="1:26" ht="11.25" customHeight="1">
      <c r="A839" s="108"/>
      <c r="B839" s="108"/>
      <c r="C839" s="123"/>
      <c r="D839" s="123"/>
      <c r="E839" s="124"/>
      <c r="F839" s="109"/>
      <c r="G839" s="109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spans="1:26" ht="11.25" customHeight="1">
      <c r="A840" s="108"/>
      <c r="B840" s="108"/>
      <c r="C840" s="123"/>
      <c r="D840" s="123"/>
      <c r="E840" s="124"/>
      <c r="F840" s="109"/>
      <c r="G840" s="109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spans="1:26" ht="11.25" customHeight="1">
      <c r="A841" s="108"/>
      <c r="B841" s="108"/>
      <c r="C841" s="123"/>
      <c r="D841" s="123"/>
      <c r="E841" s="124"/>
      <c r="F841" s="109"/>
      <c r="G841" s="109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spans="1:26" ht="11.25" customHeight="1">
      <c r="A842" s="108"/>
      <c r="B842" s="108"/>
      <c r="C842" s="123"/>
      <c r="D842" s="123"/>
      <c r="E842" s="124"/>
      <c r="F842" s="109"/>
      <c r="G842" s="109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spans="1:26" ht="11.25" customHeight="1">
      <c r="A843" s="108"/>
      <c r="B843" s="108"/>
      <c r="C843" s="123"/>
      <c r="D843" s="123"/>
      <c r="E843" s="124"/>
      <c r="F843" s="109"/>
      <c r="G843" s="109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spans="1:26" ht="11.25" customHeight="1">
      <c r="A844" s="108"/>
      <c r="B844" s="108"/>
      <c r="C844" s="123"/>
      <c r="D844" s="123"/>
      <c r="E844" s="124"/>
      <c r="F844" s="109"/>
      <c r="G844" s="109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spans="1:26" ht="11.25" customHeight="1">
      <c r="A845" s="108"/>
      <c r="B845" s="108"/>
      <c r="C845" s="123"/>
      <c r="D845" s="123"/>
      <c r="E845" s="124"/>
      <c r="F845" s="109"/>
      <c r="G845" s="109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spans="1:26" ht="11.25" customHeight="1">
      <c r="A846" s="108"/>
      <c r="B846" s="108"/>
      <c r="C846" s="123"/>
      <c r="D846" s="123"/>
      <c r="E846" s="124"/>
      <c r="F846" s="109"/>
      <c r="G846" s="109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spans="1:26" ht="11.25" customHeight="1">
      <c r="A847" s="108"/>
      <c r="B847" s="108"/>
      <c r="C847" s="123"/>
      <c r="D847" s="123"/>
      <c r="E847" s="124"/>
      <c r="F847" s="109"/>
      <c r="G847" s="109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spans="1:26" ht="11.25" customHeight="1">
      <c r="A848" s="108"/>
      <c r="B848" s="108"/>
      <c r="C848" s="123"/>
      <c r="D848" s="123"/>
      <c r="E848" s="124"/>
      <c r="F848" s="109"/>
      <c r="G848" s="109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spans="1:26" ht="11.25" customHeight="1">
      <c r="A849" s="108"/>
      <c r="B849" s="108"/>
      <c r="C849" s="123"/>
      <c r="D849" s="123"/>
      <c r="E849" s="124"/>
      <c r="F849" s="109"/>
      <c r="G849" s="109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spans="1:26" ht="11.25" customHeight="1">
      <c r="A850" s="108"/>
      <c r="B850" s="108"/>
      <c r="C850" s="123"/>
      <c r="D850" s="123"/>
      <c r="E850" s="124"/>
      <c r="F850" s="109"/>
      <c r="G850" s="109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spans="1:26" ht="11.25" customHeight="1">
      <c r="A851" s="108"/>
      <c r="B851" s="108"/>
      <c r="C851" s="123"/>
      <c r="D851" s="123"/>
      <c r="E851" s="124"/>
      <c r="F851" s="109"/>
      <c r="G851" s="109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spans="1:26" ht="11.25" customHeight="1">
      <c r="A852" s="108"/>
      <c r="B852" s="108"/>
      <c r="C852" s="123"/>
      <c r="D852" s="123"/>
      <c r="E852" s="124"/>
      <c r="F852" s="109"/>
      <c r="G852" s="109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spans="1:26" ht="11.25" customHeight="1">
      <c r="A853" s="108"/>
      <c r="B853" s="108"/>
      <c r="C853" s="123"/>
      <c r="D853" s="123"/>
      <c r="E853" s="124"/>
      <c r="F853" s="109"/>
      <c r="G853" s="109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spans="1:26" ht="11.25" customHeight="1">
      <c r="A854" s="108"/>
      <c r="B854" s="108"/>
      <c r="C854" s="123"/>
      <c r="D854" s="123"/>
      <c r="E854" s="124"/>
      <c r="F854" s="109"/>
      <c r="G854" s="109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spans="1:26" ht="11.25" customHeight="1">
      <c r="A855" s="108"/>
      <c r="B855" s="108"/>
      <c r="C855" s="123"/>
      <c r="D855" s="123"/>
      <c r="E855" s="124"/>
      <c r="F855" s="109"/>
      <c r="G855" s="109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spans="1:26" ht="11.25" customHeight="1">
      <c r="A856" s="108"/>
      <c r="B856" s="108"/>
      <c r="C856" s="123"/>
      <c r="D856" s="123"/>
      <c r="E856" s="124"/>
      <c r="F856" s="109"/>
      <c r="G856" s="109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spans="1:26" ht="11.25" customHeight="1">
      <c r="A857" s="108"/>
      <c r="B857" s="108"/>
      <c r="C857" s="123"/>
      <c r="D857" s="123"/>
      <c r="E857" s="124"/>
      <c r="F857" s="109"/>
      <c r="G857" s="109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spans="1:26" ht="11.25" customHeight="1">
      <c r="A858" s="108"/>
      <c r="B858" s="108"/>
      <c r="C858" s="123"/>
      <c r="D858" s="123"/>
      <c r="E858" s="124"/>
      <c r="F858" s="109"/>
      <c r="G858" s="109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spans="1:26" ht="11.25" customHeight="1">
      <c r="A859" s="108"/>
      <c r="B859" s="108"/>
      <c r="C859" s="123"/>
      <c r="D859" s="123"/>
      <c r="E859" s="124"/>
      <c r="F859" s="109"/>
      <c r="G859" s="109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spans="1:26" ht="11.25" customHeight="1">
      <c r="A860" s="108"/>
      <c r="B860" s="108"/>
      <c r="C860" s="123"/>
      <c r="D860" s="123"/>
      <c r="E860" s="124"/>
      <c r="F860" s="109"/>
      <c r="G860" s="109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spans="1:26" ht="11.25" customHeight="1">
      <c r="A861" s="108"/>
      <c r="B861" s="108"/>
      <c r="C861" s="123"/>
      <c r="D861" s="123"/>
      <c r="E861" s="124"/>
      <c r="F861" s="109"/>
      <c r="G861" s="109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spans="1:26" ht="11.25" customHeight="1">
      <c r="A862" s="108"/>
      <c r="B862" s="108"/>
      <c r="C862" s="123"/>
      <c r="D862" s="123"/>
      <c r="E862" s="124"/>
      <c r="F862" s="109"/>
      <c r="G862" s="109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spans="1:26" ht="11.25" customHeight="1">
      <c r="A863" s="108"/>
      <c r="B863" s="108"/>
      <c r="C863" s="123"/>
      <c r="D863" s="123"/>
      <c r="E863" s="124"/>
      <c r="F863" s="109"/>
      <c r="G863" s="109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spans="1:26" ht="11.25" customHeight="1">
      <c r="A864" s="108"/>
      <c r="B864" s="108"/>
      <c r="C864" s="123"/>
      <c r="D864" s="123"/>
      <c r="E864" s="124"/>
      <c r="F864" s="109"/>
      <c r="G864" s="109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spans="1:26" ht="11.25" customHeight="1">
      <c r="A865" s="108"/>
      <c r="B865" s="108"/>
      <c r="C865" s="123"/>
      <c r="D865" s="123"/>
      <c r="E865" s="124"/>
      <c r="F865" s="109"/>
      <c r="G865" s="109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spans="1:26" ht="11.25" customHeight="1">
      <c r="A866" s="108"/>
      <c r="B866" s="108"/>
      <c r="C866" s="123"/>
      <c r="D866" s="123"/>
      <c r="E866" s="124"/>
      <c r="F866" s="109"/>
      <c r="G866" s="109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spans="1:26" ht="11.25" customHeight="1">
      <c r="A867" s="108"/>
      <c r="B867" s="108"/>
      <c r="C867" s="123"/>
      <c r="D867" s="123"/>
      <c r="E867" s="124"/>
      <c r="F867" s="109"/>
      <c r="G867" s="109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spans="1:26" ht="11.25" customHeight="1">
      <c r="A868" s="108"/>
      <c r="B868" s="108"/>
      <c r="C868" s="123"/>
      <c r="D868" s="123"/>
      <c r="E868" s="124"/>
      <c r="F868" s="109"/>
      <c r="G868" s="109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spans="1:26" ht="11.25" customHeight="1">
      <c r="A869" s="108"/>
      <c r="B869" s="108"/>
      <c r="C869" s="123"/>
      <c r="D869" s="123"/>
      <c r="E869" s="124"/>
      <c r="F869" s="109"/>
      <c r="G869" s="109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spans="1:26" ht="11.25" customHeight="1">
      <c r="A870" s="108"/>
      <c r="B870" s="108"/>
      <c r="C870" s="123"/>
      <c r="D870" s="123"/>
      <c r="E870" s="124"/>
      <c r="F870" s="109"/>
      <c r="G870" s="109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spans="1:26" ht="11.25" customHeight="1">
      <c r="A871" s="108"/>
      <c r="B871" s="108"/>
      <c r="C871" s="123"/>
      <c r="D871" s="123"/>
      <c r="E871" s="124"/>
      <c r="F871" s="109"/>
      <c r="G871" s="109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spans="1:26" ht="11.25" customHeight="1">
      <c r="A872" s="108"/>
      <c r="B872" s="108"/>
      <c r="C872" s="123"/>
      <c r="D872" s="123"/>
      <c r="E872" s="124"/>
      <c r="F872" s="109"/>
      <c r="G872" s="109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spans="1:26" ht="11.25" customHeight="1">
      <c r="A873" s="108"/>
      <c r="B873" s="108"/>
      <c r="C873" s="123"/>
      <c r="D873" s="123"/>
      <c r="E873" s="124"/>
      <c r="F873" s="109"/>
      <c r="G873" s="109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spans="1:26" ht="11.25" customHeight="1">
      <c r="A874" s="108"/>
      <c r="B874" s="108"/>
      <c r="C874" s="123"/>
      <c r="D874" s="123"/>
      <c r="E874" s="124"/>
      <c r="F874" s="109"/>
      <c r="G874" s="109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spans="1:26" ht="11.25" customHeight="1">
      <c r="A875" s="108"/>
      <c r="B875" s="108"/>
      <c r="C875" s="123"/>
      <c r="D875" s="123"/>
      <c r="E875" s="124"/>
      <c r="F875" s="109"/>
      <c r="G875" s="109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spans="1:26" ht="11.25" customHeight="1">
      <c r="A876" s="108"/>
      <c r="B876" s="108"/>
      <c r="C876" s="123"/>
      <c r="D876" s="123"/>
      <c r="E876" s="124"/>
      <c r="F876" s="109"/>
      <c r="G876" s="109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spans="1:26" ht="11.25" customHeight="1">
      <c r="A877" s="108"/>
      <c r="B877" s="108"/>
      <c r="C877" s="123"/>
      <c r="D877" s="123"/>
      <c r="E877" s="124"/>
      <c r="F877" s="109"/>
      <c r="G877" s="109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spans="1:26" ht="11.25" customHeight="1">
      <c r="A878" s="108"/>
      <c r="B878" s="108"/>
      <c r="C878" s="123"/>
      <c r="D878" s="123"/>
      <c r="E878" s="124"/>
      <c r="F878" s="109"/>
      <c r="G878" s="109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spans="1:26" ht="11.25" customHeight="1">
      <c r="A879" s="108"/>
      <c r="B879" s="108"/>
      <c r="C879" s="123"/>
      <c r="D879" s="123"/>
      <c r="E879" s="124"/>
      <c r="F879" s="109"/>
      <c r="G879" s="109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spans="1:26" ht="11.25" customHeight="1">
      <c r="A880" s="108"/>
      <c r="B880" s="108"/>
      <c r="C880" s="123"/>
      <c r="D880" s="123"/>
      <c r="E880" s="124"/>
      <c r="F880" s="109"/>
      <c r="G880" s="109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spans="1:26" ht="11.25" customHeight="1">
      <c r="A881" s="108"/>
      <c r="B881" s="108"/>
      <c r="C881" s="123"/>
      <c r="D881" s="123"/>
      <c r="E881" s="124"/>
      <c r="F881" s="109"/>
      <c r="G881" s="109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spans="1:26" ht="11.25" customHeight="1">
      <c r="A882" s="108"/>
      <c r="B882" s="108"/>
      <c r="C882" s="123"/>
      <c r="D882" s="123"/>
      <c r="E882" s="124"/>
      <c r="F882" s="109"/>
      <c r="G882" s="109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spans="1:26" ht="11.25" customHeight="1">
      <c r="A883" s="108"/>
      <c r="B883" s="108"/>
      <c r="C883" s="123"/>
      <c r="D883" s="123"/>
      <c r="E883" s="124"/>
      <c r="F883" s="109"/>
      <c r="G883" s="109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spans="1:26" ht="11.25" customHeight="1">
      <c r="A884" s="108"/>
      <c r="B884" s="108"/>
      <c r="C884" s="123"/>
      <c r="D884" s="123"/>
      <c r="E884" s="124"/>
      <c r="F884" s="109"/>
      <c r="G884" s="109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spans="1:26" ht="11.25" customHeight="1">
      <c r="A885" s="108"/>
      <c r="B885" s="108"/>
      <c r="C885" s="123"/>
      <c r="D885" s="123"/>
      <c r="E885" s="124"/>
      <c r="F885" s="109"/>
      <c r="G885" s="109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spans="1:26" ht="11.25" customHeight="1">
      <c r="A886" s="108"/>
      <c r="B886" s="108"/>
      <c r="C886" s="123"/>
      <c r="D886" s="123"/>
      <c r="E886" s="124"/>
      <c r="F886" s="109"/>
      <c r="G886" s="109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spans="1:26" ht="11.25" customHeight="1">
      <c r="A887" s="108"/>
      <c r="B887" s="108"/>
      <c r="C887" s="123"/>
      <c r="D887" s="123"/>
      <c r="E887" s="124"/>
      <c r="F887" s="109"/>
      <c r="G887" s="109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spans="1:26" ht="11.25" customHeight="1">
      <c r="A888" s="108"/>
      <c r="B888" s="108"/>
      <c r="C888" s="123"/>
      <c r="D888" s="123"/>
      <c r="E888" s="124"/>
      <c r="F888" s="109"/>
      <c r="G888" s="109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spans="1:26" ht="11.25" customHeight="1">
      <c r="A889" s="108"/>
      <c r="B889" s="108"/>
      <c r="C889" s="123"/>
      <c r="D889" s="123"/>
      <c r="E889" s="124"/>
      <c r="F889" s="109"/>
      <c r="G889" s="109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spans="1:26" ht="11.25" customHeight="1">
      <c r="A890" s="108"/>
      <c r="B890" s="108"/>
      <c r="C890" s="123"/>
      <c r="D890" s="123"/>
      <c r="E890" s="124"/>
      <c r="F890" s="109"/>
      <c r="G890" s="109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spans="1:26" ht="11.25" customHeight="1">
      <c r="A891" s="108"/>
      <c r="B891" s="108"/>
      <c r="C891" s="123"/>
      <c r="D891" s="123"/>
      <c r="E891" s="124"/>
      <c r="F891" s="109"/>
      <c r="G891" s="109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spans="1:26" ht="11.25" customHeight="1">
      <c r="A892" s="108"/>
      <c r="B892" s="108"/>
      <c r="C892" s="123"/>
      <c r="D892" s="123"/>
      <c r="E892" s="124"/>
      <c r="F892" s="109"/>
      <c r="G892" s="109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spans="1:26" ht="11.25" customHeight="1">
      <c r="A893" s="108"/>
      <c r="B893" s="108"/>
      <c r="C893" s="123"/>
      <c r="D893" s="123"/>
      <c r="E893" s="124"/>
      <c r="F893" s="109"/>
      <c r="G893" s="109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spans="1:26" ht="11.25" customHeight="1">
      <c r="A894" s="108"/>
      <c r="B894" s="108"/>
      <c r="C894" s="123"/>
      <c r="D894" s="123"/>
      <c r="E894" s="124"/>
      <c r="F894" s="109"/>
      <c r="G894" s="109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spans="1:26" ht="11.25" customHeight="1">
      <c r="A895" s="108"/>
      <c r="B895" s="108"/>
      <c r="C895" s="123"/>
      <c r="D895" s="123"/>
      <c r="E895" s="124"/>
      <c r="F895" s="109"/>
      <c r="G895" s="109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spans="1:26" ht="11.25" customHeight="1">
      <c r="A896" s="108"/>
      <c r="B896" s="108"/>
      <c r="C896" s="123"/>
      <c r="D896" s="123"/>
      <c r="E896" s="124"/>
      <c r="F896" s="109"/>
      <c r="G896" s="109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spans="1:26" ht="11.25" customHeight="1">
      <c r="A897" s="108"/>
      <c r="B897" s="108"/>
      <c r="C897" s="123"/>
      <c r="D897" s="123"/>
      <c r="E897" s="124"/>
      <c r="F897" s="109"/>
      <c r="G897" s="109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spans="1:26" ht="11.25" customHeight="1">
      <c r="A898" s="108"/>
      <c r="B898" s="108"/>
      <c r="C898" s="123"/>
      <c r="D898" s="123"/>
      <c r="E898" s="124"/>
      <c r="F898" s="109"/>
      <c r="G898" s="109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spans="1:26" ht="11.25" customHeight="1">
      <c r="A899" s="108"/>
      <c r="B899" s="108"/>
      <c r="C899" s="123"/>
      <c r="D899" s="123"/>
      <c r="E899" s="124"/>
      <c r="F899" s="109"/>
      <c r="G899" s="109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spans="1:26" ht="11.25" customHeight="1">
      <c r="A900" s="108"/>
      <c r="B900" s="108"/>
      <c r="C900" s="123"/>
      <c r="D900" s="123"/>
      <c r="E900" s="124"/>
      <c r="F900" s="109"/>
      <c r="G900" s="109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spans="1:26" ht="11.25" customHeight="1">
      <c r="A901" s="108"/>
      <c r="B901" s="108"/>
      <c r="C901" s="123"/>
      <c r="D901" s="123"/>
      <c r="E901" s="124"/>
      <c r="F901" s="109"/>
      <c r="G901" s="109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spans="1:26" ht="11.25" customHeight="1">
      <c r="A902" s="108"/>
      <c r="B902" s="108"/>
      <c r="C902" s="123"/>
      <c r="D902" s="123"/>
      <c r="E902" s="124"/>
      <c r="F902" s="109"/>
      <c r="G902" s="109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spans="1:26" ht="11.25" customHeight="1">
      <c r="A903" s="108"/>
      <c r="B903" s="108"/>
      <c r="C903" s="123"/>
      <c r="D903" s="123"/>
      <c r="E903" s="124"/>
      <c r="F903" s="109"/>
      <c r="G903" s="109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spans="1:26" ht="11.25" customHeight="1">
      <c r="A904" s="108"/>
      <c r="B904" s="108"/>
      <c r="C904" s="123"/>
      <c r="D904" s="123"/>
      <c r="E904" s="124"/>
      <c r="F904" s="109"/>
      <c r="G904" s="109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spans="1:26" ht="11.25" customHeight="1">
      <c r="A905" s="108"/>
      <c r="B905" s="108"/>
      <c r="C905" s="123"/>
      <c r="D905" s="123"/>
      <c r="E905" s="124"/>
      <c r="F905" s="109"/>
      <c r="G905" s="109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spans="1:26" ht="11.25" customHeight="1">
      <c r="A906" s="108"/>
      <c r="B906" s="108"/>
      <c r="C906" s="123"/>
      <c r="D906" s="123"/>
      <c r="E906" s="124"/>
      <c r="F906" s="109"/>
      <c r="G906" s="109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spans="1:26" ht="11.25" customHeight="1">
      <c r="A907" s="108"/>
      <c r="B907" s="108"/>
      <c r="C907" s="123"/>
      <c r="D907" s="123"/>
      <c r="E907" s="124"/>
      <c r="F907" s="109"/>
      <c r="G907" s="109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spans="1:26" ht="11.25" customHeight="1">
      <c r="A908" s="108"/>
      <c r="B908" s="108"/>
      <c r="C908" s="123"/>
      <c r="D908" s="123"/>
      <c r="E908" s="124"/>
      <c r="F908" s="109"/>
      <c r="G908" s="109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spans="1:26" ht="11.25" customHeight="1">
      <c r="A909" s="108"/>
      <c r="B909" s="108"/>
      <c r="C909" s="123"/>
      <c r="D909" s="123"/>
      <c r="E909" s="124"/>
      <c r="F909" s="109"/>
      <c r="G909" s="109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spans="1:26" ht="11.25" customHeight="1">
      <c r="A910" s="108"/>
      <c r="B910" s="108"/>
      <c r="C910" s="123"/>
      <c r="D910" s="123"/>
      <c r="E910" s="124"/>
      <c r="F910" s="109"/>
      <c r="G910" s="109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spans="1:26" ht="11.25" customHeight="1">
      <c r="A911" s="108"/>
      <c r="B911" s="108"/>
      <c r="C911" s="123"/>
      <c r="D911" s="123"/>
      <c r="E911" s="124"/>
      <c r="F911" s="109"/>
      <c r="G911" s="109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spans="1:26" ht="11.25" customHeight="1">
      <c r="A912" s="108"/>
      <c r="B912" s="108"/>
      <c r="C912" s="123"/>
      <c r="D912" s="123"/>
      <c r="E912" s="124"/>
      <c r="F912" s="109"/>
      <c r="G912" s="109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spans="1:26" ht="11.25" customHeight="1">
      <c r="A913" s="108"/>
      <c r="B913" s="108"/>
      <c r="C913" s="123"/>
      <c r="D913" s="123"/>
      <c r="E913" s="124"/>
      <c r="F913" s="109"/>
      <c r="G913" s="109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spans="1:26" ht="11.25" customHeight="1">
      <c r="A914" s="108"/>
      <c r="B914" s="108"/>
      <c r="C914" s="123"/>
      <c r="D914" s="123"/>
      <c r="E914" s="124"/>
      <c r="F914" s="109"/>
      <c r="G914" s="109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spans="1:26" ht="11.25" customHeight="1">
      <c r="A915" s="108"/>
      <c r="B915" s="108"/>
      <c r="C915" s="123"/>
      <c r="D915" s="123"/>
      <c r="E915" s="124"/>
      <c r="F915" s="109"/>
      <c r="G915" s="109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spans="1:26" ht="11.25" customHeight="1">
      <c r="A916" s="108"/>
      <c r="B916" s="108"/>
      <c r="C916" s="123"/>
      <c r="D916" s="123"/>
      <c r="E916" s="124"/>
      <c r="F916" s="109"/>
      <c r="G916" s="109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spans="1:26" ht="11.25" customHeight="1">
      <c r="A917" s="108"/>
      <c r="B917" s="108"/>
      <c r="C917" s="123"/>
      <c r="D917" s="123"/>
      <c r="E917" s="124"/>
      <c r="F917" s="109"/>
      <c r="G917" s="109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spans="1:26" ht="11.25" customHeight="1">
      <c r="A918" s="108"/>
      <c r="B918" s="108"/>
      <c r="C918" s="123"/>
      <c r="D918" s="123"/>
      <c r="E918" s="124"/>
      <c r="F918" s="109"/>
      <c r="G918" s="109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spans="1:26" ht="11.25" customHeight="1">
      <c r="A919" s="108"/>
      <c r="B919" s="108"/>
      <c r="C919" s="123"/>
      <c r="D919" s="123"/>
      <c r="E919" s="124"/>
      <c r="F919" s="109"/>
      <c r="G919" s="109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spans="1:26" ht="11.25" customHeight="1">
      <c r="A920" s="108"/>
      <c r="B920" s="108"/>
      <c r="C920" s="123"/>
      <c r="D920" s="123"/>
      <c r="E920" s="124"/>
      <c r="F920" s="109"/>
      <c r="G920" s="109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spans="1:26" ht="11.25" customHeight="1">
      <c r="A921" s="108"/>
      <c r="B921" s="108"/>
      <c r="C921" s="123"/>
      <c r="D921" s="123"/>
      <c r="E921" s="124"/>
      <c r="F921" s="109"/>
      <c r="G921" s="109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spans="1:26" ht="11.25" customHeight="1">
      <c r="A922" s="108"/>
      <c r="B922" s="108"/>
      <c r="C922" s="123"/>
      <c r="D922" s="123"/>
      <c r="E922" s="124"/>
      <c r="F922" s="109"/>
      <c r="G922" s="109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spans="1:26" ht="11.25" customHeight="1">
      <c r="A923" s="108"/>
      <c r="B923" s="108"/>
      <c r="C923" s="123"/>
      <c r="D923" s="123"/>
      <c r="E923" s="124"/>
      <c r="F923" s="109"/>
      <c r="G923" s="109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spans="1:26" ht="11.25" customHeight="1">
      <c r="A924" s="108"/>
      <c r="B924" s="108"/>
      <c r="C924" s="123"/>
      <c r="D924" s="123"/>
      <c r="E924" s="124"/>
      <c r="F924" s="109"/>
      <c r="G924" s="109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spans="1:26" ht="11.25" customHeight="1">
      <c r="A925" s="108"/>
      <c r="B925" s="108"/>
      <c r="C925" s="123"/>
      <c r="D925" s="123"/>
      <c r="E925" s="124"/>
      <c r="F925" s="109"/>
      <c r="G925" s="109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spans="1:26" ht="11.25" customHeight="1">
      <c r="A926" s="108"/>
      <c r="B926" s="108"/>
      <c r="C926" s="123"/>
      <c r="D926" s="123"/>
      <c r="E926" s="124"/>
      <c r="F926" s="109"/>
      <c r="G926" s="109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spans="1:26" ht="11.25" customHeight="1">
      <c r="A927" s="108"/>
      <c r="B927" s="108"/>
      <c r="C927" s="123"/>
      <c r="D927" s="123"/>
      <c r="E927" s="124"/>
      <c r="F927" s="109"/>
      <c r="G927" s="109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spans="1:26" ht="11.25" customHeight="1">
      <c r="A928" s="108"/>
      <c r="B928" s="108"/>
      <c r="C928" s="123"/>
      <c r="D928" s="123"/>
      <c r="E928" s="124"/>
      <c r="F928" s="109"/>
      <c r="G928" s="109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spans="1:26" ht="11.25" customHeight="1">
      <c r="A929" s="108"/>
      <c r="B929" s="108"/>
      <c r="C929" s="123"/>
      <c r="D929" s="123"/>
      <c r="E929" s="124"/>
      <c r="F929" s="109"/>
      <c r="G929" s="109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spans="1:26" ht="11.25" customHeight="1">
      <c r="A930" s="108"/>
      <c r="B930" s="108"/>
      <c r="C930" s="123"/>
      <c r="D930" s="123"/>
      <c r="E930" s="124"/>
      <c r="F930" s="109"/>
      <c r="G930" s="109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spans="1:26" ht="11.25" customHeight="1">
      <c r="A931" s="108"/>
      <c r="B931" s="108"/>
      <c r="C931" s="123"/>
      <c r="D931" s="123"/>
      <c r="E931" s="124"/>
      <c r="F931" s="109"/>
      <c r="G931" s="109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spans="1:26" ht="11.25" customHeight="1">
      <c r="A932" s="108"/>
      <c r="B932" s="108"/>
      <c r="C932" s="123"/>
      <c r="D932" s="123"/>
      <c r="E932" s="124"/>
      <c r="F932" s="109"/>
      <c r="G932" s="109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spans="1:26" ht="11.25" customHeight="1">
      <c r="A933" s="108"/>
      <c r="B933" s="108"/>
      <c r="C933" s="123"/>
      <c r="D933" s="123"/>
      <c r="E933" s="124"/>
      <c r="F933" s="109"/>
      <c r="G933" s="109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spans="1:26" ht="11.25" customHeight="1">
      <c r="A934" s="108"/>
      <c r="B934" s="108"/>
      <c r="C934" s="123"/>
      <c r="D934" s="123"/>
      <c r="E934" s="124"/>
      <c r="F934" s="109"/>
      <c r="G934" s="109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spans="1:26" ht="11.25" customHeight="1">
      <c r="A935" s="108"/>
      <c r="B935" s="108"/>
      <c r="C935" s="123"/>
      <c r="D935" s="123"/>
      <c r="E935" s="124"/>
      <c r="F935" s="109"/>
      <c r="G935" s="109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spans="1:26" ht="11.25" customHeight="1">
      <c r="A936" s="108"/>
      <c r="B936" s="108"/>
      <c r="C936" s="123"/>
      <c r="D936" s="123"/>
      <c r="E936" s="124"/>
      <c r="F936" s="109"/>
      <c r="G936" s="109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spans="1:26" ht="11.25" customHeight="1">
      <c r="A937" s="108"/>
      <c r="B937" s="108"/>
      <c r="C937" s="123"/>
      <c r="D937" s="123"/>
      <c r="E937" s="124"/>
      <c r="F937" s="109"/>
      <c r="G937" s="109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spans="1:26" ht="11.25" customHeight="1">
      <c r="A938" s="108"/>
      <c r="B938" s="108"/>
      <c r="C938" s="123"/>
      <c r="D938" s="123"/>
      <c r="E938" s="124"/>
      <c r="F938" s="109"/>
      <c r="G938" s="109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spans="1:26" ht="11.25" customHeight="1">
      <c r="A939" s="108"/>
      <c r="B939" s="108"/>
      <c r="C939" s="123"/>
      <c r="D939" s="123"/>
      <c r="E939" s="124"/>
      <c r="F939" s="109"/>
      <c r="G939" s="109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spans="1:26" ht="11.25" customHeight="1">
      <c r="A940" s="108"/>
      <c r="B940" s="108"/>
      <c r="C940" s="123"/>
      <c r="D940" s="123"/>
      <c r="E940" s="124"/>
      <c r="F940" s="109"/>
      <c r="G940" s="109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spans="1:26" ht="11.25" customHeight="1">
      <c r="A941" s="108"/>
      <c r="B941" s="108"/>
      <c r="C941" s="123"/>
      <c r="D941" s="123"/>
      <c r="E941" s="124"/>
      <c r="F941" s="109"/>
      <c r="G941" s="109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spans="1:26" ht="11.25" customHeight="1">
      <c r="A942" s="108"/>
      <c r="B942" s="108"/>
      <c r="C942" s="123"/>
      <c r="D942" s="123"/>
      <c r="E942" s="124"/>
      <c r="F942" s="109"/>
      <c r="G942" s="109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spans="1:26" ht="11.25" customHeight="1">
      <c r="A943" s="108"/>
      <c r="B943" s="108"/>
      <c r="C943" s="123"/>
      <c r="D943" s="123"/>
      <c r="E943" s="124"/>
      <c r="F943" s="109"/>
      <c r="G943" s="109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spans="1:26" ht="11.25" customHeight="1">
      <c r="A944" s="108"/>
      <c r="B944" s="108"/>
      <c r="C944" s="123"/>
      <c r="D944" s="123"/>
      <c r="E944" s="124"/>
      <c r="F944" s="109"/>
      <c r="G944" s="109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spans="1:26" ht="11.25" customHeight="1">
      <c r="A945" s="108"/>
      <c r="B945" s="108"/>
      <c r="C945" s="123"/>
      <c r="D945" s="123"/>
      <c r="E945" s="124"/>
      <c r="F945" s="109"/>
      <c r="G945" s="109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spans="1:26" ht="11.25" customHeight="1">
      <c r="A946" s="108"/>
      <c r="B946" s="108"/>
      <c r="C946" s="123"/>
      <c r="D946" s="123"/>
      <c r="E946" s="124"/>
      <c r="F946" s="109"/>
      <c r="G946" s="109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spans="1:26" ht="11.25" customHeight="1">
      <c r="A947" s="108"/>
      <c r="B947" s="108"/>
      <c r="C947" s="123"/>
      <c r="D947" s="123"/>
      <c r="E947" s="124"/>
      <c r="F947" s="109"/>
      <c r="G947" s="109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spans="1:26" ht="11.25" customHeight="1">
      <c r="A948" s="108"/>
      <c r="B948" s="108"/>
      <c r="C948" s="123"/>
      <c r="D948" s="123"/>
      <c r="E948" s="124"/>
      <c r="F948" s="109"/>
      <c r="G948" s="109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spans="1:26" ht="11.25" customHeight="1">
      <c r="A949" s="108"/>
      <c r="B949" s="108"/>
      <c r="C949" s="123"/>
      <c r="D949" s="123"/>
      <c r="E949" s="124"/>
      <c r="F949" s="109"/>
      <c r="G949" s="109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spans="1:26" ht="11.25" customHeight="1">
      <c r="A950" s="108"/>
      <c r="B950" s="108"/>
      <c r="C950" s="123"/>
      <c r="D950" s="123"/>
      <c r="E950" s="124"/>
      <c r="F950" s="109"/>
      <c r="G950" s="109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spans="1:26" ht="11.25" customHeight="1">
      <c r="A951" s="108"/>
      <c r="B951" s="108"/>
      <c r="C951" s="123"/>
      <c r="D951" s="123"/>
      <c r="E951" s="124"/>
      <c r="F951" s="109"/>
      <c r="G951" s="109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spans="1:26" ht="11.25" customHeight="1">
      <c r="A952" s="108"/>
      <c r="B952" s="108"/>
      <c r="C952" s="123"/>
      <c r="D952" s="123"/>
      <c r="E952" s="124"/>
      <c r="F952" s="109"/>
      <c r="G952" s="109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spans="1:26" ht="11.25" customHeight="1">
      <c r="A953" s="108"/>
      <c r="B953" s="108"/>
      <c r="C953" s="123"/>
      <c r="D953" s="123"/>
      <c r="E953" s="124"/>
      <c r="F953" s="109"/>
      <c r="G953" s="109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spans="1:26" ht="11.25" customHeight="1">
      <c r="A954" s="108"/>
      <c r="B954" s="108"/>
      <c r="C954" s="123"/>
      <c r="D954" s="123"/>
      <c r="E954" s="124"/>
      <c r="F954" s="109"/>
      <c r="G954" s="109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spans="1:26" ht="11.25" customHeight="1">
      <c r="A955" s="108"/>
      <c r="B955" s="108"/>
      <c r="C955" s="123"/>
      <c r="D955" s="123"/>
      <c r="E955" s="124"/>
      <c r="F955" s="109"/>
      <c r="G955" s="109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spans="1:26" ht="11.25" customHeight="1">
      <c r="A956" s="108"/>
      <c r="B956" s="108"/>
      <c r="C956" s="123"/>
      <c r="D956" s="123"/>
      <c r="E956" s="124"/>
      <c r="F956" s="109"/>
      <c r="G956" s="109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spans="1:26" ht="11.25" customHeight="1">
      <c r="A957" s="108"/>
      <c r="B957" s="108"/>
      <c r="C957" s="123"/>
      <c r="D957" s="123"/>
      <c r="E957" s="124"/>
      <c r="F957" s="109"/>
      <c r="G957" s="109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spans="1:26" ht="11.25" customHeight="1">
      <c r="A958" s="108"/>
      <c r="B958" s="108"/>
      <c r="C958" s="123"/>
      <c r="D958" s="123"/>
      <c r="E958" s="124"/>
      <c r="F958" s="109"/>
      <c r="G958" s="109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spans="1:26" ht="11.25" customHeight="1">
      <c r="A959" s="108"/>
      <c r="B959" s="108"/>
      <c r="C959" s="123"/>
      <c r="D959" s="123"/>
      <c r="E959" s="124"/>
      <c r="F959" s="109"/>
      <c r="G959" s="109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spans="1:26" ht="11.25" customHeight="1">
      <c r="A960" s="108"/>
      <c r="B960" s="108"/>
      <c r="C960" s="123"/>
      <c r="D960" s="123"/>
      <c r="E960" s="124"/>
      <c r="F960" s="109"/>
      <c r="G960" s="109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spans="1:26" ht="11.25" customHeight="1">
      <c r="A961" s="108"/>
      <c r="B961" s="108"/>
      <c r="C961" s="123"/>
      <c r="D961" s="123"/>
      <c r="E961" s="124"/>
      <c r="F961" s="109"/>
      <c r="G961" s="109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spans="1:26" ht="11.25" customHeight="1">
      <c r="A962" s="108"/>
      <c r="B962" s="108"/>
      <c r="C962" s="123"/>
      <c r="D962" s="123"/>
      <c r="E962" s="124"/>
      <c r="F962" s="109"/>
      <c r="G962" s="109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spans="1:26" ht="11.25" customHeight="1">
      <c r="A963" s="108"/>
      <c r="B963" s="108"/>
      <c r="C963" s="123"/>
      <c r="D963" s="123"/>
      <c r="E963" s="124"/>
      <c r="F963" s="109"/>
      <c r="G963" s="109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spans="1:26" ht="11.25" customHeight="1">
      <c r="A964" s="108"/>
      <c r="B964" s="108"/>
      <c r="C964" s="123"/>
      <c r="D964" s="123"/>
      <c r="E964" s="124"/>
      <c r="F964" s="109"/>
      <c r="G964" s="109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spans="1:26" ht="11.25" customHeight="1">
      <c r="A965" s="108"/>
      <c r="B965" s="108"/>
      <c r="C965" s="123"/>
      <c r="D965" s="123"/>
      <c r="E965" s="124"/>
      <c r="F965" s="109"/>
      <c r="G965" s="109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spans="1:26" ht="11.25" customHeight="1">
      <c r="A966" s="108"/>
      <c r="B966" s="108"/>
      <c r="C966" s="123"/>
      <c r="D966" s="123"/>
      <c r="E966" s="124"/>
      <c r="F966" s="109"/>
      <c r="G966" s="109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spans="1:26" ht="11.25" customHeight="1">
      <c r="A967" s="108"/>
      <c r="B967" s="108"/>
      <c r="C967" s="123"/>
      <c r="D967" s="123"/>
      <c r="E967" s="124"/>
      <c r="F967" s="109"/>
      <c r="G967" s="109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spans="1:26" ht="11.25" customHeight="1">
      <c r="A968" s="108"/>
      <c r="B968" s="108"/>
      <c r="C968" s="123"/>
      <c r="D968" s="123"/>
      <c r="E968" s="124"/>
      <c r="F968" s="109"/>
      <c r="G968" s="109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spans="1:26" ht="11.25" customHeight="1">
      <c r="A969" s="108"/>
      <c r="B969" s="108"/>
      <c r="C969" s="123"/>
      <c r="D969" s="123"/>
      <c r="E969" s="124"/>
      <c r="F969" s="109"/>
      <c r="G969" s="109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spans="1:26" ht="11.25" customHeight="1">
      <c r="A970" s="108"/>
      <c r="B970" s="108"/>
      <c r="C970" s="123"/>
      <c r="D970" s="123"/>
      <c r="E970" s="124"/>
      <c r="F970" s="109"/>
      <c r="G970" s="109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spans="1:26" ht="11.25" customHeight="1">
      <c r="A971" s="108"/>
      <c r="B971" s="108"/>
      <c r="C971" s="123"/>
      <c r="D971" s="123"/>
      <c r="E971" s="124"/>
      <c r="F971" s="109"/>
      <c r="G971" s="109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spans="1:26" ht="11.25" customHeight="1">
      <c r="A972" s="108"/>
      <c r="B972" s="108"/>
      <c r="C972" s="123"/>
      <c r="D972" s="123"/>
      <c r="E972" s="124"/>
      <c r="F972" s="109"/>
      <c r="G972" s="109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spans="1:26" ht="11.25" customHeight="1">
      <c r="A973" s="108"/>
      <c r="B973" s="108"/>
      <c r="C973" s="123"/>
      <c r="D973" s="123"/>
      <c r="E973" s="124"/>
      <c r="F973" s="109"/>
      <c r="G973" s="109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spans="1:26" ht="11.25" customHeight="1">
      <c r="A974" s="108"/>
      <c r="B974" s="108"/>
      <c r="C974" s="123"/>
      <c r="D974" s="123"/>
      <c r="E974" s="124"/>
      <c r="F974" s="109"/>
      <c r="G974" s="109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spans="1:26" ht="11.25" customHeight="1">
      <c r="A975" s="108"/>
      <c r="B975" s="108"/>
      <c r="C975" s="123"/>
      <c r="D975" s="123"/>
      <c r="E975" s="124"/>
      <c r="F975" s="109"/>
      <c r="G975" s="109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spans="1:26" ht="11.25" customHeight="1">
      <c r="A976" s="108"/>
      <c r="B976" s="108"/>
      <c r="C976" s="123"/>
      <c r="D976" s="123"/>
      <c r="E976" s="124"/>
      <c r="F976" s="109"/>
      <c r="G976" s="109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spans="1:26" ht="11.25" customHeight="1">
      <c r="A977" s="108"/>
      <c r="B977" s="108"/>
      <c r="C977" s="123"/>
      <c r="D977" s="123"/>
      <c r="E977" s="124"/>
      <c r="F977" s="109"/>
      <c r="G977" s="109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spans="1:26" ht="11.25" customHeight="1">
      <c r="A978" s="108"/>
      <c r="B978" s="108"/>
      <c r="C978" s="123"/>
      <c r="D978" s="123"/>
      <c r="E978" s="124"/>
      <c r="F978" s="109"/>
      <c r="G978" s="109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spans="1:26" ht="11.25" customHeight="1">
      <c r="A979" s="108"/>
      <c r="B979" s="108"/>
      <c r="C979" s="123"/>
      <c r="D979" s="123"/>
      <c r="E979" s="124"/>
      <c r="F979" s="109"/>
      <c r="G979" s="109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spans="1:26" ht="11.25" customHeight="1">
      <c r="A980" s="108"/>
      <c r="B980" s="108"/>
      <c r="C980" s="123"/>
      <c r="D980" s="123"/>
      <c r="E980" s="124"/>
      <c r="F980" s="109"/>
      <c r="G980" s="109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spans="1:26" ht="11.25" customHeight="1">
      <c r="A981" s="108"/>
      <c r="B981" s="108"/>
      <c r="C981" s="123"/>
      <c r="D981" s="123"/>
      <c r="E981" s="124"/>
      <c r="F981" s="109"/>
      <c r="G981" s="109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spans="1:26" ht="11.25" customHeight="1">
      <c r="A982" s="108"/>
      <c r="B982" s="108"/>
      <c r="C982" s="123"/>
      <c r="D982" s="123"/>
      <c r="E982" s="124"/>
      <c r="F982" s="109"/>
      <c r="G982" s="109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spans="1:26" ht="11.25" customHeight="1">
      <c r="A983" s="108"/>
      <c r="B983" s="108"/>
      <c r="C983" s="123"/>
      <c r="D983" s="123"/>
      <c r="E983" s="124"/>
      <c r="F983" s="109"/>
      <c r="G983" s="109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spans="1:26" ht="11.25" customHeight="1">
      <c r="A984" s="108"/>
      <c r="B984" s="108"/>
      <c r="C984" s="123"/>
      <c r="D984" s="123"/>
      <c r="E984" s="124"/>
      <c r="F984" s="109"/>
      <c r="G984" s="109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spans="1:26" ht="11.25" customHeight="1">
      <c r="A985" s="108"/>
      <c r="B985" s="108"/>
      <c r="C985" s="123"/>
      <c r="D985" s="123"/>
      <c r="E985" s="124"/>
      <c r="F985" s="109"/>
      <c r="G985" s="109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spans="1:26" ht="11.25" customHeight="1">
      <c r="A986" s="108"/>
      <c r="B986" s="108"/>
      <c r="C986" s="123"/>
      <c r="D986" s="123"/>
      <c r="E986" s="124"/>
      <c r="F986" s="109"/>
      <c r="G986" s="109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spans="1:26" ht="11.25" customHeight="1">
      <c r="A987" s="108"/>
      <c r="B987" s="108"/>
      <c r="C987" s="123"/>
      <c r="D987" s="123"/>
      <c r="E987" s="124"/>
      <c r="F987" s="109"/>
      <c r="G987" s="109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spans="1:26" ht="11.25" customHeight="1">
      <c r="A988" s="108"/>
      <c r="B988" s="108"/>
      <c r="C988" s="123"/>
      <c r="D988" s="123"/>
      <c r="E988" s="124"/>
      <c r="F988" s="109"/>
      <c r="G988" s="109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spans="1:26" ht="11.25" customHeight="1">
      <c r="A989" s="108"/>
      <c r="B989" s="108"/>
      <c r="C989" s="123"/>
      <c r="D989" s="123"/>
      <c r="E989" s="124"/>
      <c r="F989" s="109"/>
      <c r="G989" s="109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spans="1:26" ht="11.25" customHeight="1">
      <c r="A990" s="108"/>
      <c r="B990" s="108"/>
      <c r="C990" s="123"/>
      <c r="D990" s="123"/>
      <c r="E990" s="124"/>
      <c r="F990" s="109"/>
      <c r="G990" s="109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spans="1:26" ht="11.25" customHeight="1">
      <c r="A991" s="108"/>
      <c r="B991" s="108"/>
      <c r="C991" s="123"/>
      <c r="D991" s="123"/>
      <c r="E991" s="124"/>
      <c r="F991" s="109"/>
      <c r="G991" s="109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spans="1:26" ht="11.25" customHeight="1">
      <c r="A992" s="108"/>
      <c r="B992" s="108"/>
      <c r="C992" s="123"/>
      <c r="D992" s="123"/>
      <c r="E992" s="124"/>
      <c r="F992" s="109"/>
      <c r="G992" s="109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spans="1:26" ht="11.25" customHeight="1">
      <c r="A993" s="108"/>
      <c r="B993" s="108"/>
      <c r="C993" s="123"/>
      <c r="D993" s="123"/>
      <c r="E993" s="124"/>
      <c r="F993" s="109"/>
      <c r="G993" s="109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spans="1:26" ht="11.25" customHeight="1">
      <c r="A994" s="108"/>
      <c r="B994" s="108"/>
      <c r="C994" s="123"/>
      <c r="D994" s="123"/>
      <c r="E994" s="124"/>
      <c r="F994" s="109"/>
      <c r="G994" s="109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spans="1:26" ht="11.25" customHeight="1">
      <c r="A995" s="108"/>
      <c r="B995" s="108"/>
      <c r="C995" s="123"/>
      <c r="D995" s="123"/>
      <c r="E995" s="124"/>
      <c r="F995" s="109"/>
      <c r="G995" s="109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spans="1:26" ht="11.25" customHeight="1">
      <c r="A996" s="108"/>
      <c r="B996" s="108"/>
      <c r="C996" s="123"/>
      <c r="D996" s="123"/>
      <c r="E996" s="124"/>
      <c r="F996" s="109"/>
      <c r="G996" s="109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spans="1:26" ht="11.25" customHeight="1">
      <c r="A997" s="108"/>
      <c r="B997" s="108"/>
      <c r="C997" s="123"/>
      <c r="D997" s="123"/>
      <c r="E997" s="124"/>
      <c r="F997" s="109"/>
      <c r="G997" s="109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spans="1:26" ht="11.25" customHeight="1">
      <c r="A998" s="108"/>
      <c r="B998" s="108"/>
      <c r="C998" s="123"/>
      <c r="D998" s="123"/>
      <c r="E998" s="124"/>
      <c r="F998" s="109"/>
      <c r="G998" s="109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spans="1:26" ht="11.25" customHeight="1">
      <c r="A999" s="108"/>
      <c r="B999" s="108"/>
      <c r="C999" s="123"/>
      <c r="D999" s="123"/>
      <c r="E999" s="124"/>
      <c r="F999" s="109"/>
      <c r="G999" s="109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 spans="1:26" ht="11.25" customHeight="1">
      <c r="A1000" s="108"/>
      <c r="B1000" s="108"/>
      <c r="C1000" s="123"/>
      <c r="D1000" s="123"/>
      <c r="E1000" s="124"/>
      <c r="F1000" s="109"/>
      <c r="G1000" s="109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</sheetData>
  <mergeCells count="4">
    <mergeCell ref="B1:E1"/>
    <mergeCell ref="B2:E2"/>
    <mergeCell ref="B3:E3"/>
    <mergeCell ref="B83:E84"/>
  </mergeCells>
  <printOptions horizontalCentered="1"/>
  <pageMargins left="0.70866141732283472" right="0.70866141732283472" top="0.55118110236220474" bottom="0.55118110236220474" header="0" footer="0"/>
  <pageSetup paperSize="14" scale="95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FBFBF"/>
  </sheetPr>
  <dimension ref="A1:Z1000"/>
  <sheetViews>
    <sheetView workbookViewId="0"/>
  </sheetViews>
  <sheetFormatPr baseColWidth="10" defaultColWidth="14.42578125" defaultRowHeight="15" customHeight="1"/>
  <cols>
    <col min="1" max="1" width="3.5703125" customWidth="1"/>
    <col min="2" max="3" width="14.42578125" customWidth="1"/>
    <col min="4" max="4" width="10" customWidth="1"/>
    <col min="5" max="5" width="15.5703125" customWidth="1"/>
    <col min="6" max="6" width="16" customWidth="1"/>
    <col min="7" max="7" width="15.5703125" customWidth="1"/>
    <col min="8" max="8" width="3.28515625" customWidth="1"/>
    <col min="9" max="9" width="11.42578125" customWidth="1"/>
    <col min="10" max="26" width="10.7109375" customWidth="1"/>
  </cols>
  <sheetData>
    <row r="1" spans="1:26" ht="11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1.25" customHeight="1">
      <c r="A2" s="2"/>
      <c r="B2" s="264" t="s">
        <v>584</v>
      </c>
      <c r="C2" s="250"/>
      <c r="D2" s="250"/>
      <c r="E2" s="250"/>
      <c r="F2" s="250"/>
      <c r="G2" s="25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1.25" customHeight="1">
      <c r="A3" s="2"/>
      <c r="B3" s="252" t="s">
        <v>653</v>
      </c>
      <c r="C3" s="250"/>
      <c r="D3" s="250"/>
      <c r="E3" s="250"/>
      <c r="F3" s="250"/>
      <c r="G3" s="25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1.25" customHeight="1">
      <c r="A4" s="2"/>
      <c r="B4" s="265" t="s">
        <v>654</v>
      </c>
      <c r="C4" s="250"/>
      <c r="D4" s="250"/>
      <c r="E4" s="250"/>
      <c r="F4" s="250"/>
      <c r="G4" s="25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1.25" customHeight="1">
      <c r="A5" s="2"/>
      <c r="B5" s="110"/>
      <c r="C5" s="110"/>
      <c r="D5" s="110"/>
      <c r="E5" s="110"/>
      <c r="F5" s="110"/>
      <c r="G5" s="1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1.2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.5" customHeight="1">
      <c r="A7" s="50"/>
      <c r="B7" s="134" t="s">
        <v>587</v>
      </c>
      <c r="C7" s="135"/>
      <c r="D7" s="136" t="s">
        <v>655</v>
      </c>
      <c r="E7" s="136" t="s">
        <v>588</v>
      </c>
      <c r="F7" s="136" t="s">
        <v>589</v>
      </c>
      <c r="G7" s="136" t="s">
        <v>590</v>
      </c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spans="1:26" ht="11.25" customHeight="1">
      <c r="A8" s="2"/>
      <c r="B8" s="2"/>
      <c r="C8" s="2"/>
      <c r="D8" s="2"/>
      <c r="E8" s="137"/>
      <c r="F8" s="137"/>
      <c r="G8" s="137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1.25" customHeight="1">
      <c r="A9" s="2"/>
      <c r="B9" s="2" t="s">
        <v>656</v>
      </c>
      <c r="C9" s="2"/>
      <c r="D9" s="137" t="s">
        <v>657</v>
      </c>
      <c r="E9" s="138">
        <v>1716515.3314690238</v>
      </c>
      <c r="F9" s="138">
        <v>1785928.8048248047</v>
      </c>
      <c r="G9" s="139">
        <f t="shared" ref="G9:G14" si="0">((F9/E9)-1)*100</f>
        <v>4.0438597945044563</v>
      </c>
      <c r="H9" s="140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1.25" customHeight="1">
      <c r="A10" s="2"/>
      <c r="B10" s="2" t="s">
        <v>658</v>
      </c>
      <c r="C10" s="2"/>
      <c r="D10" s="137" t="s">
        <v>657</v>
      </c>
      <c r="E10" s="138">
        <v>454647.47739609936</v>
      </c>
      <c r="F10" s="138">
        <v>390025.41172564664</v>
      </c>
      <c r="G10" s="139">
        <f t="shared" si="0"/>
        <v>-14.213664186715036</v>
      </c>
      <c r="H10" s="140"/>
      <c r="I10" s="14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1.25" customHeight="1">
      <c r="A11" s="2"/>
      <c r="B11" s="2" t="s">
        <v>659</v>
      </c>
      <c r="C11" s="2"/>
      <c r="D11" s="137" t="s">
        <v>657</v>
      </c>
      <c r="E11" s="138">
        <v>6093.3709201253196</v>
      </c>
      <c r="F11" s="138">
        <v>6362.9033419844536</v>
      </c>
      <c r="G11" s="139">
        <f t="shared" si="0"/>
        <v>4.4233713225780624</v>
      </c>
      <c r="H11" s="140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1.25" customHeight="1">
      <c r="A12" s="2"/>
      <c r="B12" s="2" t="s">
        <v>660</v>
      </c>
      <c r="C12" s="2"/>
      <c r="D12" s="137" t="s">
        <v>657</v>
      </c>
      <c r="E12" s="138">
        <v>2214847.4014729299</v>
      </c>
      <c r="F12" s="138">
        <v>2143151.7813333473</v>
      </c>
      <c r="G12" s="139">
        <f t="shared" si="0"/>
        <v>-3.2370455902245521</v>
      </c>
      <c r="H12" s="140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1.25" customHeight="1">
      <c r="A13" s="2"/>
      <c r="B13" s="2" t="s">
        <v>661</v>
      </c>
      <c r="C13" s="2"/>
      <c r="D13" s="137" t="s">
        <v>657</v>
      </c>
      <c r="E13" s="138">
        <v>62986.117769448007</v>
      </c>
      <c r="F13" s="138">
        <v>65772.227640067009</v>
      </c>
      <c r="G13" s="139">
        <f t="shared" si="0"/>
        <v>4.4233713225780624</v>
      </c>
      <c r="H13" s="140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1.25" customHeight="1">
      <c r="A14" s="2"/>
      <c r="B14" s="2" t="s">
        <v>662</v>
      </c>
      <c r="C14" s="2"/>
      <c r="D14" s="137" t="s">
        <v>663</v>
      </c>
      <c r="E14" s="138">
        <v>49616.4828871922</v>
      </c>
      <c r="F14" s="138">
        <v>39684.800000000003</v>
      </c>
      <c r="G14" s="139">
        <f t="shared" si="0"/>
        <v>-20.016902265670112</v>
      </c>
      <c r="H14" s="140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1.25" customHeight="1">
      <c r="A15" s="2"/>
      <c r="B15" s="2"/>
      <c r="C15" s="2"/>
      <c r="D15" s="2"/>
      <c r="E15" s="137"/>
      <c r="F15" s="137"/>
      <c r="G15" s="139"/>
      <c r="H15" s="140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>
      <c r="A16" s="3"/>
      <c r="B16" s="51" t="s">
        <v>152</v>
      </c>
      <c r="C16" s="51"/>
      <c r="D16" s="51"/>
      <c r="E16" s="142">
        <f t="shared" ref="E16:F16" si="1">SUM(E9:E15)</f>
        <v>4504706.1819148194</v>
      </c>
      <c r="F16" s="142">
        <f t="shared" si="1"/>
        <v>4430925.92886585</v>
      </c>
      <c r="G16" s="143">
        <f>((F16/E16)-1)*100</f>
        <v>-1.6378482873128819</v>
      </c>
      <c r="H16" s="140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1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1.25" customHeight="1">
      <c r="A18" s="2"/>
      <c r="B18" s="4" t="s">
        <v>66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1.25" customHeight="1">
      <c r="A20" s="2"/>
      <c r="B20" s="269" t="s">
        <v>664</v>
      </c>
      <c r="C20" s="270"/>
      <c r="D20" s="270"/>
      <c r="E20" s="270"/>
      <c r="F20" s="270"/>
      <c r="G20" s="271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1.25" customHeight="1">
      <c r="A21" s="2"/>
      <c r="B21" s="272"/>
      <c r="C21" s="273"/>
      <c r="D21" s="273"/>
      <c r="E21" s="273"/>
      <c r="F21" s="273"/>
      <c r="G21" s="27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1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1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1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1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1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1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1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1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1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1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1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1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1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1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1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1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1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1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1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1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1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1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1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1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1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1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1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1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1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1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1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1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1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1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1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1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1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1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B2:G2"/>
    <mergeCell ref="B3:G3"/>
    <mergeCell ref="B4:G4"/>
    <mergeCell ref="B20:G21"/>
  </mergeCells>
  <printOptions horizontalCentered="1"/>
  <pageMargins left="0.70866141732283472" right="0.70866141732283472" top="0.74803149606299213" bottom="0.74803149606299213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FBFBF"/>
  </sheetPr>
  <dimension ref="A1:Z1000"/>
  <sheetViews>
    <sheetView workbookViewId="0"/>
  </sheetViews>
  <sheetFormatPr baseColWidth="10" defaultColWidth="14.42578125" defaultRowHeight="15" customHeight="1"/>
  <cols>
    <col min="1" max="1" width="3.5703125" customWidth="1"/>
    <col min="2" max="2" width="27.7109375" customWidth="1"/>
    <col min="3" max="3" width="18.42578125" customWidth="1"/>
    <col min="4" max="4" width="14.7109375" customWidth="1"/>
    <col min="5" max="5" width="14.42578125" customWidth="1"/>
    <col min="6" max="6" width="14.7109375" customWidth="1"/>
    <col min="7" max="7" width="11.42578125" customWidth="1"/>
    <col min="8" max="8" width="15.85546875" customWidth="1"/>
    <col min="9" max="9" width="14.140625" customWidth="1"/>
    <col min="10" max="10" width="11.42578125" customWidth="1"/>
    <col min="11" max="11" width="17" customWidth="1"/>
    <col min="12" max="26" width="10.7109375" customWidth="1"/>
  </cols>
  <sheetData>
    <row r="1" spans="1:26" ht="11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1.25" customHeight="1">
      <c r="A2" s="2"/>
      <c r="B2" s="264" t="s">
        <v>665</v>
      </c>
      <c r="C2" s="250"/>
      <c r="D2" s="250"/>
      <c r="E2" s="250"/>
      <c r="F2" s="25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1.25" customHeight="1">
      <c r="A3" s="2"/>
      <c r="B3" s="252" t="s">
        <v>666</v>
      </c>
      <c r="C3" s="250"/>
      <c r="D3" s="250"/>
      <c r="E3" s="250"/>
      <c r="F3" s="25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1.25" customHeight="1">
      <c r="A4" s="2"/>
      <c r="B4" s="265" t="s">
        <v>1</v>
      </c>
      <c r="C4" s="250"/>
      <c r="D4" s="250"/>
      <c r="E4" s="250"/>
      <c r="F4" s="25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1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1.25" customHeight="1">
      <c r="A6" s="50"/>
      <c r="B6" s="134"/>
      <c r="C6" s="135"/>
      <c r="D6" s="144" t="s">
        <v>588</v>
      </c>
      <c r="E6" s="144" t="s">
        <v>667</v>
      </c>
      <c r="F6" s="144" t="s">
        <v>668</v>
      </c>
      <c r="G6" s="50"/>
      <c r="H6" s="50"/>
      <c r="I6" s="50"/>
      <c r="J6" s="50"/>
      <c r="K6" s="7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spans="1:26" ht="11.25" customHeight="1">
      <c r="A7" s="2"/>
      <c r="B7" s="3" t="s">
        <v>587</v>
      </c>
      <c r="C7" s="2"/>
      <c r="D7" s="137"/>
      <c r="E7" s="137"/>
      <c r="F7" s="137"/>
      <c r="G7" s="2"/>
      <c r="H7" s="2"/>
      <c r="I7" s="2"/>
      <c r="J7" s="2"/>
      <c r="K7" s="10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1.25" customHeight="1">
      <c r="A8" s="2"/>
      <c r="B8" s="2" t="s">
        <v>669</v>
      </c>
      <c r="C8" s="2"/>
      <c r="D8" s="145">
        <v>2121782887.634825</v>
      </c>
      <c r="E8" s="145">
        <v>2477323877.2654982</v>
      </c>
      <c r="F8" s="117">
        <f t="shared" ref="F8:F9" si="0">((E8/D8)-1)*100</f>
        <v>16.756709261002612</v>
      </c>
      <c r="G8" s="146"/>
      <c r="H8" s="106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1.25" customHeight="1">
      <c r="A9" s="2"/>
      <c r="B9" s="2" t="s">
        <v>670</v>
      </c>
      <c r="C9" s="2"/>
      <c r="D9" s="145">
        <v>51768043.659980901</v>
      </c>
      <c r="E9" s="145">
        <v>36807491.058293603</v>
      </c>
      <c r="F9" s="117">
        <f t="shared" si="0"/>
        <v>-28.899204111227593</v>
      </c>
      <c r="G9" s="14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1.25" customHeight="1">
      <c r="A10" s="2"/>
      <c r="B10" s="2" t="s">
        <v>671</v>
      </c>
      <c r="C10" s="2"/>
      <c r="D10" s="145">
        <v>0</v>
      </c>
      <c r="E10" s="145">
        <v>0</v>
      </c>
      <c r="F10" s="117">
        <v>0</v>
      </c>
      <c r="G10" s="14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1.25" customHeight="1">
      <c r="A11" s="2"/>
      <c r="B11" s="2" t="s">
        <v>672</v>
      </c>
      <c r="C11" s="2"/>
      <c r="D11" s="145">
        <v>37242100938.289764</v>
      </c>
      <c r="E11" s="145">
        <v>44277690973.540367</v>
      </c>
      <c r="F11" s="117">
        <f>((E11/D11)-1)*100</f>
        <v>18.891496070290415</v>
      </c>
      <c r="G11" s="14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1.25" customHeight="1">
      <c r="A12" s="2"/>
      <c r="B12" s="2"/>
      <c r="C12" s="2"/>
      <c r="D12" s="147"/>
      <c r="E12" s="147"/>
      <c r="F12" s="117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3"/>
      <c r="B13" s="51" t="s">
        <v>152</v>
      </c>
      <c r="C13" s="51"/>
      <c r="D13" s="148">
        <f t="shared" ref="D13:E13" si="1">SUM(D8:D12)</f>
        <v>39415651869.584572</v>
      </c>
      <c r="E13" s="148">
        <f t="shared" si="1"/>
        <v>46791822341.864159</v>
      </c>
      <c r="F13" s="131">
        <f>((E13/D13)-1)*100</f>
        <v>18.713810687909671</v>
      </c>
      <c r="G13" s="2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1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1.25" customHeight="1">
      <c r="A15" s="2"/>
      <c r="B15" s="4" t="s">
        <v>673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1.75" customHeight="1">
      <c r="A16" s="2"/>
      <c r="B16" s="277" t="s">
        <v>674</v>
      </c>
      <c r="C16" s="250"/>
      <c r="D16" s="250"/>
      <c r="E16" s="250"/>
      <c r="F16" s="251"/>
      <c r="G16" s="149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1.25" customHeight="1">
      <c r="A17" s="2"/>
      <c r="B17" s="149"/>
      <c r="C17" s="149"/>
      <c r="D17" s="149"/>
      <c r="E17" s="149"/>
      <c r="F17" s="149"/>
      <c r="G17" s="149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1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1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1.25" customHeight="1">
      <c r="A20" s="2"/>
      <c r="B20" s="110"/>
      <c r="C20" s="110"/>
      <c r="D20" s="110"/>
      <c r="E20" s="110"/>
      <c r="F20" s="11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1.25" customHeight="1">
      <c r="A21" s="2"/>
      <c r="B21" s="275" t="s">
        <v>675</v>
      </c>
      <c r="C21" s="250"/>
      <c r="D21" s="250"/>
      <c r="E21" s="250"/>
      <c r="F21" s="25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1.25" customHeight="1">
      <c r="A22" s="2"/>
      <c r="B22" s="275" t="s">
        <v>676</v>
      </c>
      <c r="C22" s="250"/>
      <c r="D22" s="250"/>
      <c r="E22" s="250"/>
      <c r="F22" s="25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1.25" customHeight="1">
      <c r="A23" s="2"/>
      <c r="B23" s="275" t="s">
        <v>1</v>
      </c>
      <c r="C23" s="250"/>
      <c r="D23" s="250"/>
      <c r="E23" s="250"/>
      <c r="F23" s="25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1.25" customHeight="1">
      <c r="A24" s="2"/>
      <c r="B24" s="110"/>
      <c r="C24" s="110"/>
      <c r="D24" s="110"/>
      <c r="E24" s="110"/>
      <c r="F24" s="110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1.25" customHeight="1">
      <c r="A25" s="2"/>
      <c r="B25" s="110"/>
      <c r="C25" s="110"/>
      <c r="D25" s="110"/>
      <c r="E25" s="110"/>
      <c r="F25" s="11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1.25" customHeight="1">
      <c r="A26" s="2"/>
      <c r="B26" s="51" t="s">
        <v>677</v>
      </c>
      <c r="C26" s="110"/>
      <c r="D26" s="144" t="str">
        <f t="shared" ref="D26:E26" si="2">D6</f>
        <v>Saldo al 31.12.23</v>
      </c>
      <c r="E26" s="144" t="str">
        <f t="shared" si="2"/>
        <v>Saldo al 30.12.24</v>
      </c>
      <c r="F26" s="11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1.25" customHeight="1">
      <c r="A27" s="2"/>
      <c r="B27" s="51"/>
      <c r="C27" s="110"/>
      <c r="D27" s="144"/>
      <c r="E27" s="144"/>
      <c r="F27" s="11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1.25" customHeight="1">
      <c r="A28" s="2"/>
      <c r="B28" s="110" t="s">
        <v>678</v>
      </c>
      <c r="C28" s="110"/>
      <c r="D28" s="150">
        <v>2033545035.134825</v>
      </c>
      <c r="E28" s="150">
        <v>2378111877.2654982</v>
      </c>
      <c r="F28" s="117"/>
      <c r="G28" s="2"/>
      <c r="H28" s="106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1.25" customHeight="1">
      <c r="A29" s="2"/>
      <c r="B29" s="110" t="s">
        <v>679</v>
      </c>
      <c r="C29" s="110"/>
      <c r="D29" s="150">
        <v>88237852.5</v>
      </c>
      <c r="E29" s="150">
        <v>99212000</v>
      </c>
      <c r="F29" s="117"/>
      <c r="G29" s="2"/>
      <c r="H29" s="106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6.5" customHeight="1">
      <c r="A30" s="2"/>
      <c r="B30" s="151" t="s">
        <v>680</v>
      </c>
      <c r="C30" s="151"/>
      <c r="D30" s="152">
        <f t="shared" ref="D30:E30" si="3">SUM(D28:D29)</f>
        <v>2121782887.634825</v>
      </c>
      <c r="E30" s="152">
        <f t="shared" si="3"/>
        <v>2477323877.2654982</v>
      </c>
      <c r="F30" s="11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1.25" customHeight="1">
      <c r="A31" s="2"/>
      <c r="B31" s="110"/>
      <c r="C31" s="110"/>
      <c r="D31" s="150"/>
      <c r="E31" s="110"/>
      <c r="F31" s="11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1.25" customHeight="1">
      <c r="A32" s="2"/>
      <c r="B32" s="110" t="s">
        <v>681</v>
      </c>
      <c r="C32" s="110"/>
      <c r="D32" s="150">
        <v>40385425.766767196</v>
      </c>
      <c r="E32" s="150">
        <v>27447437.106653601</v>
      </c>
      <c r="F32" s="110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1.25" customHeight="1">
      <c r="A33" s="2"/>
      <c r="B33" s="110" t="s">
        <v>682</v>
      </c>
      <c r="C33" s="110"/>
      <c r="D33" s="106">
        <v>11379223.341010001</v>
      </c>
      <c r="E33" s="106">
        <v>9360053.9516399987</v>
      </c>
      <c r="F33" s="110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1.25" customHeight="1">
      <c r="A34" s="2"/>
      <c r="B34" s="2" t="s">
        <v>683</v>
      </c>
      <c r="C34" s="2"/>
      <c r="D34" s="106">
        <v>0</v>
      </c>
      <c r="E34" s="106">
        <v>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1.25" customHeight="1">
      <c r="A35" s="2"/>
      <c r="B35" s="2" t="s">
        <v>684</v>
      </c>
      <c r="C35" s="2"/>
      <c r="D35" s="106">
        <v>3394.5522037000001</v>
      </c>
      <c r="E35" s="106"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1.25" customHeight="1">
      <c r="A36" s="2"/>
      <c r="B36" s="2" t="s">
        <v>685</v>
      </c>
      <c r="C36" s="2"/>
      <c r="D36" s="106">
        <v>0</v>
      </c>
      <c r="E36" s="106"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6.5" customHeight="1">
      <c r="A37" s="2"/>
      <c r="B37" s="151" t="s">
        <v>686</v>
      </c>
      <c r="C37" s="151"/>
      <c r="D37" s="152">
        <f t="shared" ref="D37:E37" si="4">SUM(D32:D36)</f>
        <v>51768043.659980893</v>
      </c>
      <c r="E37" s="152">
        <f t="shared" si="4"/>
        <v>36807491.058293596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1.25" customHeight="1">
      <c r="A38" s="2"/>
      <c r="B38" s="2"/>
      <c r="C38" s="2"/>
      <c r="D38" s="106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1.25" customHeight="1">
      <c r="A39" s="2"/>
      <c r="B39" s="2" t="s">
        <v>687</v>
      </c>
      <c r="C39" s="2"/>
      <c r="D39" s="106">
        <v>0</v>
      </c>
      <c r="E39" s="106"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1.25" customHeight="1">
      <c r="A40" s="2"/>
      <c r="B40" s="2" t="s">
        <v>688</v>
      </c>
      <c r="C40" s="2"/>
      <c r="D40" s="106">
        <v>0</v>
      </c>
      <c r="E40" s="106"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1.25" customHeight="1">
      <c r="A41" s="2"/>
      <c r="B41" s="2" t="s">
        <v>689</v>
      </c>
      <c r="C41" s="2"/>
      <c r="D41" s="106">
        <v>37242100938.289764</v>
      </c>
      <c r="E41" s="106">
        <v>44277690973.540367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1.25" customHeight="1">
      <c r="A42" s="2"/>
      <c r="B42" s="2" t="s">
        <v>690</v>
      </c>
      <c r="C42" s="2"/>
      <c r="D42" s="106">
        <v>0</v>
      </c>
      <c r="E42" s="106">
        <v>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1.25" customHeight="1">
      <c r="A43" s="2"/>
      <c r="B43" s="2" t="s">
        <v>691</v>
      </c>
      <c r="C43" s="2"/>
      <c r="D43" s="106">
        <v>0</v>
      </c>
      <c r="E43" s="106">
        <v>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6.5" customHeight="1">
      <c r="A44" s="2"/>
      <c r="B44" s="151" t="s">
        <v>692</v>
      </c>
      <c r="C44" s="151"/>
      <c r="D44" s="152">
        <f t="shared" ref="D44:E44" si="5">SUM(D39:D43)</f>
        <v>37242100938.289764</v>
      </c>
      <c r="E44" s="152">
        <f t="shared" si="5"/>
        <v>44277690973.540367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1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" customHeight="1">
      <c r="A46" s="2"/>
      <c r="B46" s="276" t="s">
        <v>674</v>
      </c>
      <c r="C46" s="250"/>
      <c r="D46" s="250"/>
      <c r="E46" s="25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1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1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1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1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1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1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1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1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1.25" customHeight="1">
      <c r="A55" s="153"/>
      <c r="B55" s="153"/>
      <c r="C55" s="153"/>
      <c r="D55" s="154">
        <f t="shared" ref="D55:E55" si="6">D30+D37+D44</f>
        <v>39415651869.584572</v>
      </c>
      <c r="E55" s="154">
        <f t="shared" si="6"/>
        <v>46791822341.864159</v>
      </c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</row>
    <row r="56" spans="1:26" ht="11.25" customHeight="1">
      <c r="A56" s="153"/>
      <c r="B56" s="153"/>
      <c r="C56" s="153"/>
      <c r="D56" s="155">
        <f t="shared" ref="D56:E56" si="7">+D13</f>
        <v>39415651869.584572</v>
      </c>
      <c r="E56" s="155">
        <f t="shared" si="7"/>
        <v>46791822341.864159</v>
      </c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</row>
    <row r="57" spans="1:26" ht="11.25" customHeight="1">
      <c r="A57" s="153"/>
      <c r="B57" s="153" t="s">
        <v>693</v>
      </c>
      <c r="C57" s="153"/>
      <c r="D57" s="155">
        <f t="shared" ref="D57:E57" si="8">+D55-D56</f>
        <v>0</v>
      </c>
      <c r="E57" s="155">
        <f t="shared" si="8"/>
        <v>0</v>
      </c>
      <c r="F57" s="153"/>
      <c r="G57" s="153"/>
      <c r="H57" s="153"/>
      <c r="I57" s="153"/>
      <c r="J57" s="153"/>
      <c r="K57" s="153"/>
      <c r="L57" s="153"/>
      <c r="M57" s="153"/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</row>
    <row r="58" spans="1:26" ht="1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1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1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1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B22:F22"/>
    <mergeCell ref="B23:F23"/>
    <mergeCell ref="B46:E46"/>
    <mergeCell ref="B2:F2"/>
    <mergeCell ref="B3:F3"/>
    <mergeCell ref="B4:F4"/>
    <mergeCell ref="B16:F16"/>
    <mergeCell ref="B21:F21"/>
  </mergeCells>
  <printOptions horizontalCentered="1"/>
  <pageMargins left="0.70866141732283472" right="0.70866141732283472" top="0.74803149606299213" bottom="0.74803149606299213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FBFBF"/>
  </sheetPr>
  <dimension ref="A1:Z1000"/>
  <sheetViews>
    <sheetView workbookViewId="0">
      <selection activeCell="F11" sqref="F11"/>
    </sheetView>
  </sheetViews>
  <sheetFormatPr baseColWidth="10" defaultColWidth="14.42578125" defaultRowHeight="15" customHeight="1"/>
  <cols>
    <col min="1" max="1" width="6.42578125" customWidth="1"/>
    <col min="2" max="2" width="10.28515625" customWidth="1"/>
    <col min="3" max="3" width="7" customWidth="1"/>
    <col min="4" max="4" width="13.7109375" customWidth="1"/>
    <col min="5" max="5" width="13.140625" customWidth="1"/>
    <col min="6" max="6" width="12.5703125" customWidth="1"/>
    <col min="7" max="8" width="10.28515625" customWidth="1"/>
    <col min="9" max="26" width="10.7109375" customWidth="1"/>
  </cols>
  <sheetData>
    <row r="1" spans="1:26" ht="11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1.25" customHeight="1">
      <c r="A2" s="2"/>
      <c r="B2" s="264" t="s">
        <v>694</v>
      </c>
      <c r="C2" s="250"/>
      <c r="D2" s="250"/>
      <c r="E2" s="250"/>
      <c r="F2" s="250"/>
      <c r="G2" s="250"/>
      <c r="H2" s="25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1.25" customHeight="1">
      <c r="A3" s="2"/>
      <c r="B3" s="252" t="s">
        <v>695</v>
      </c>
      <c r="C3" s="250"/>
      <c r="D3" s="250"/>
      <c r="E3" s="250"/>
      <c r="F3" s="250"/>
      <c r="G3" s="250"/>
      <c r="H3" s="25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1.25" customHeight="1">
      <c r="A4" s="2"/>
      <c r="B4" s="265" t="s">
        <v>1</v>
      </c>
      <c r="C4" s="250"/>
      <c r="D4" s="250"/>
      <c r="E4" s="250"/>
      <c r="F4" s="250"/>
      <c r="G4" s="250"/>
      <c r="H4" s="25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1.25" customHeight="1">
      <c r="A5" s="2"/>
      <c r="B5" s="110"/>
      <c r="C5" s="110"/>
      <c r="D5" s="110"/>
      <c r="E5" s="110"/>
      <c r="F5" s="110"/>
      <c r="G5" s="110"/>
      <c r="H5" s="110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8.25" customHeight="1">
      <c r="A6" s="2"/>
      <c r="B6" s="278" t="s">
        <v>696</v>
      </c>
      <c r="C6" s="251"/>
      <c r="D6" s="144" t="s">
        <v>588</v>
      </c>
      <c r="E6" s="144"/>
      <c r="F6" s="144" t="s">
        <v>589</v>
      </c>
      <c r="G6" s="144"/>
      <c r="H6" s="144" t="s">
        <v>590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7.25" customHeight="1">
      <c r="A7" s="2"/>
      <c r="B7" s="2" t="s">
        <v>697</v>
      </c>
      <c r="C7" s="2"/>
      <c r="D7" s="145">
        <f>+'VII C.1 Comp D Pub Dir Ext Acr '!D11</f>
        <v>37242100938.289764</v>
      </c>
      <c r="E7" s="145"/>
      <c r="F7" s="145">
        <f>+'VII C.1 Comp D Pub Dir Ext Acr '!E11</f>
        <v>44277690973.540367</v>
      </c>
      <c r="G7" s="145"/>
      <c r="H7" s="117">
        <f t="shared" ref="H7:H9" si="0">((F7/D7)-1)*100</f>
        <v>18.891496070290415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7.25" customHeight="1">
      <c r="A8" s="2"/>
      <c r="B8" s="2" t="s">
        <v>698</v>
      </c>
      <c r="C8" s="2"/>
      <c r="D8" s="145">
        <f>+'VII C.1 Comp D Pub Dir Ext Acr '!D9</f>
        <v>51768043.659980901</v>
      </c>
      <c r="E8" s="145"/>
      <c r="F8" s="145">
        <f>+'VII C.1 Comp D Pub Dir Ext Acr '!E9</f>
        <v>36807491.058293603</v>
      </c>
      <c r="G8" s="145"/>
      <c r="H8" s="117">
        <f t="shared" si="0"/>
        <v>-28.899204111227593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7.25" customHeight="1">
      <c r="A9" s="2"/>
      <c r="B9" s="2" t="s">
        <v>699</v>
      </c>
      <c r="C9" s="2"/>
      <c r="D9" s="145">
        <f>+'VII C.1 Comp D Pub Dir Ext Acr '!D8</f>
        <v>2121782887.634825</v>
      </c>
      <c r="E9" s="145"/>
      <c r="F9" s="145">
        <f>+'VII C.1 Comp D Pub Dir Ext Acr '!E8</f>
        <v>2477323877.2654982</v>
      </c>
      <c r="G9" s="145"/>
      <c r="H9" s="117">
        <f t="shared" si="0"/>
        <v>16.756709261002612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1.25" customHeight="1">
      <c r="A10" s="2"/>
      <c r="B10" s="2"/>
      <c r="C10" s="2"/>
      <c r="D10" s="147"/>
      <c r="E10" s="147"/>
      <c r="F10" s="147"/>
      <c r="G10" s="147"/>
      <c r="H10" s="117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>
      <c r="A11" s="3"/>
      <c r="B11" s="51" t="s">
        <v>152</v>
      </c>
      <c r="C11" s="51"/>
      <c r="D11" s="148">
        <f>SUM(D7:D10)</f>
        <v>39415651869.584572</v>
      </c>
      <c r="E11" s="148"/>
      <c r="F11" s="148">
        <f>SUM(F7:F10)</f>
        <v>46791822341.864159</v>
      </c>
      <c r="G11" s="148"/>
      <c r="H11" s="131">
        <f>((F11/D11)-1)*100</f>
        <v>18.713810687909671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1.25" customHeight="1">
      <c r="A12" s="2"/>
      <c r="B12" s="2"/>
      <c r="C12" s="2"/>
      <c r="D12" s="147"/>
      <c r="E12" s="147"/>
      <c r="F12" s="147"/>
      <c r="G12" s="147"/>
      <c r="H12" s="147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1.25" customHeight="1">
      <c r="A13" s="2"/>
      <c r="B13" s="4" t="s">
        <v>673</v>
      </c>
      <c r="C13" s="4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1.25" customHeight="1">
      <c r="A14" s="2"/>
      <c r="B14" s="4"/>
      <c r="C14" s="4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1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1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1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1.25" customHeight="1">
      <c r="A18" s="2"/>
      <c r="B18" s="2"/>
      <c r="C18" s="2"/>
      <c r="D18" s="263" t="s">
        <v>700</v>
      </c>
      <c r="E18" s="250"/>
      <c r="F18" s="251"/>
      <c r="G18" s="2"/>
      <c r="H18" s="8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1.25" customHeight="1">
      <c r="A19" s="2"/>
      <c r="B19" s="2"/>
      <c r="C19" s="2"/>
      <c r="D19" s="263" t="s">
        <v>701</v>
      </c>
      <c r="E19" s="250"/>
      <c r="F19" s="251"/>
      <c r="G19" s="2"/>
      <c r="H19" s="1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1.25" customHeight="1">
      <c r="A20" s="2"/>
      <c r="B20" s="2"/>
      <c r="C20" s="2"/>
      <c r="D20" s="257" t="s">
        <v>539</v>
      </c>
      <c r="E20" s="250"/>
      <c r="F20" s="25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1.25" customHeight="1">
      <c r="A21" s="2"/>
      <c r="B21" s="110"/>
      <c r="C21" s="110"/>
      <c r="D21" s="110"/>
      <c r="E21" s="110"/>
      <c r="F21" s="110"/>
      <c r="G21" s="110"/>
      <c r="H21" s="110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1.25" customHeight="1">
      <c r="A22" s="2"/>
      <c r="B22" s="110"/>
      <c r="C22" s="110"/>
      <c r="D22" s="110"/>
      <c r="E22" s="110"/>
      <c r="F22" s="110"/>
      <c r="G22" s="110"/>
      <c r="H22" s="110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1.25" customHeight="1">
      <c r="A23" s="2"/>
      <c r="B23" s="110"/>
      <c r="C23" s="110"/>
      <c r="D23" s="110"/>
      <c r="E23" s="110"/>
      <c r="F23" s="110"/>
      <c r="G23" s="110"/>
      <c r="H23" s="110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1.25" customHeight="1">
      <c r="A24" s="2"/>
      <c r="B24" s="110"/>
      <c r="C24" s="110"/>
      <c r="D24" s="110"/>
      <c r="E24" s="110"/>
      <c r="F24" s="110"/>
      <c r="G24" s="110"/>
      <c r="H24" s="110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1.25" customHeight="1">
      <c r="A25" s="2"/>
      <c r="B25" s="110"/>
      <c r="C25" s="110"/>
      <c r="D25" s="110"/>
      <c r="E25" s="110"/>
      <c r="F25" s="110"/>
      <c r="G25" s="110"/>
      <c r="H25" s="110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1.25" customHeight="1">
      <c r="A26" s="2"/>
      <c r="B26" s="110"/>
      <c r="C26" s="110"/>
      <c r="D26" s="110"/>
      <c r="E26" s="110"/>
      <c r="F26" s="110"/>
      <c r="G26" s="110"/>
      <c r="H26" s="110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1.25" customHeight="1">
      <c r="A27" s="2"/>
      <c r="B27" s="110"/>
      <c r="C27" s="110"/>
      <c r="D27" s="110"/>
      <c r="E27" s="110"/>
      <c r="F27" s="110"/>
      <c r="G27" s="110"/>
      <c r="H27" s="110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1.25" customHeight="1">
      <c r="A28" s="2"/>
      <c r="B28" s="110"/>
      <c r="C28" s="110"/>
      <c r="D28" s="110"/>
      <c r="E28" s="110"/>
      <c r="F28" s="110"/>
      <c r="G28" s="110"/>
      <c r="H28" s="110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1.25" customHeight="1">
      <c r="A29" s="2"/>
      <c r="B29" s="110"/>
      <c r="C29" s="110"/>
      <c r="D29" s="110"/>
      <c r="E29" s="110"/>
      <c r="F29" s="110"/>
      <c r="G29" s="110"/>
      <c r="H29" s="110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1.25" customHeight="1">
      <c r="A30" s="2"/>
      <c r="B30" s="110"/>
      <c r="C30" s="110"/>
      <c r="D30" s="110"/>
      <c r="E30" s="110"/>
      <c r="F30" s="110"/>
      <c r="G30" s="110"/>
      <c r="H30" s="110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1.25" customHeight="1">
      <c r="A31" s="2"/>
      <c r="B31" s="110"/>
      <c r="C31" s="110"/>
      <c r="D31" s="110"/>
      <c r="E31" s="110"/>
      <c r="F31" s="110"/>
      <c r="G31" s="110"/>
      <c r="H31" s="110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1.25" customHeight="1">
      <c r="A32" s="2"/>
      <c r="B32" s="110"/>
      <c r="C32" s="110"/>
      <c r="D32" s="110"/>
      <c r="E32" s="110"/>
      <c r="F32" s="110"/>
      <c r="G32" s="110"/>
      <c r="H32" s="110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1.25" customHeight="1">
      <c r="A33" s="2"/>
      <c r="B33" s="110"/>
      <c r="C33" s="110"/>
      <c r="D33" s="110"/>
      <c r="E33" s="110"/>
      <c r="F33" s="110"/>
      <c r="G33" s="110"/>
      <c r="H33" s="110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1.25" customHeight="1">
      <c r="A34" s="2"/>
      <c r="B34" s="110"/>
      <c r="C34" s="110"/>
      <c r="D34" s="110"/>
      <c r="E34" s="110"/>
      <c r="F34" s="110"/>
      <c r="G34" s="110"/>
      <c r="H34" s="110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1.25" customHeight="1">
      <c r="A35" s="2"/>
      <c r="B35" s="110"/>
      <c r="C35" s="110"/>
      <c r="D35" s="110"/>
      <c r="E35" s="110"/>
      <c r="F35" s="110"/>
      <c r="G35" s="110"/>
      <c r="H35" s="110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1.25" customHeight="1">
      <c r="A36" s="2"/>
      <c r="B36" s="110"/>
      <c r="C36" s="110"/>
      <c r="D36" s="110"/>
      <c r="E36" s="110"/>
      <c r="F36" s="110"/>
      <c r="G36" s="110"/>
      <c r="H36" s="110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1.25" customHeight="1">
      <c r="A37" s="2"/>
      <c r="B37" s="110"/>
      <c r="C37" s="110"/>
      <c r="D37" s="110"/>
      <c r="E37" s="110"/>
      <c r="F37" s="110"/>
      <c r="G37" s="110"/>
      <c r="H37" s="110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1.25" customHeight="1">
      <c r="A38" s="2"/>
      <c r="B38" s="110"/>
      <c r="C38" s="110"/>
      <c r="D38" s="110"/>
      <c r="E38" s="110"/>
      <c r="F38" s="110"/>
      <c r="G38" s="110"/>
      <c r="H38" s="110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1.25" customHeight="1">
      <c r="A39" s="2"/>
      <c r="B39" s="110"/>
      <c r="C39" s="110"/>
      <c r="D39" s="110"/>
      <c r="E39" s="110"/>
      <c r="F39" s="110"/>
      <c r="G39" s="110"/>
      <c r="H39" s="110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1.25" customHeight="1">
      <c r="A40" s="2"/>
      <c r="B40" s="110"/>
      <c r="C40" s="110"/>
      <c r="D40" s="110"/>
      <c r="E40" s="110"/>
      <c r="F40" s="110"/>
      <c r="G40" s="110"/>
      <c r="H40" s="110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1.25" customHeight="1">
      <c r="A41" s="2"/>
      <c r="B41" s="110"/>
      <c r="C41" s="110"/>
      <c r="D41" s="110"/>
      <c r="E41" s="110"/>
      <c r="F41" s="110"/>
      <c r="G41" s="110"/>
      <c r="H41" s="110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1.25" customHeight="1">
      <c r="A42" s="2"/>
      <c r="B42" s="110"/>
      <c r="C42" s="110"/>
      <c r="D42" s="110"/>
      <c r="E42" s="110"/>
      <c r="F42" s="110"/>
      <c r="G42" s="110"/>
      <c r="H42" s="110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1.25" customHeight="1">
      <c r="A43" s="2"/>
      <c r="B43" s="110"/>
      <c r="C43" s="110"/>
      <c r="D43" s="110"/>
      <c r="E43" s="110"/>
      <c r="F43" s="110"/>
      <c r="G43" s="110"/>
      <c r="H43" s="110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1.25" customHeight="1">
      <c r="A44" s="2"/>
      <c r="B44" s="110"/>
      <c r="C44" s="110"/>
      <c r="D44" s="110"/>
      <c r="E44" s="110"/>
      <c r="F44" s="110"/>
      <c r="G44" s="110"/>
      <c r="H44" s="110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1.25" customHeight="1">
      <c r="A45" s="2"/>
      <c r="B45" s="110"/>
      <c r="C45" s="110"/>
      <c r="D45" s="110"/>
      <c r="E45" s="110"/>
      <c r="F45" s="110"/>
      <c r="G45" s="110"/>
      <c r="H45" s="110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1.25" customHeight="1">
      <c r="A46" s="2"/>
      <c r="B46" s="2"/>
      <c r="C46" s="2"/>
      <c r="D46" s="2"/>
      <c r="E46" s="156" t="s">
        <v>702</v>
      </c>
      <c r="F46" s="157" t="s">
        <v>703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1.25" customHeight="1">
      <c r="A47" s="2"/>
      <c r="B47" s="2"/>
      <c r="C47" s="2"/>
      <c r="D47" s="158" t="s">
        <v>697</v>
      </c>
      <c r="E47" s="159">
        <f t="shared" ref="E47:E49" si="1">D7</f>
        <v>37242100938.289764</v>
      </c>
      <c r="F47" s="160">
        <f t="shared" ref="F47:F49" si="2">F7</f>
        <v>44277690973.540367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1.25" customHeight="1">
      <c r="A48" s="2"/>
      <c r="B48" s="2"/>
      <c r="C48" s="2"/>
      <c r="D48" s="158" t="s">
        <v>698</v>
      </c>
      <c r="E48" s="159">
        <f t="shared" si="1"/>
        <v>51768043.659980901</v>
      </c>
      <c r="F48" s="160">
        <f t="shared" si="2"/>
        <v>36807491.058293603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1.25" customHeight="1">
      <c r="A49" s="2"/>
      <c r="B49" s="2"/>
      <c r="C49" s="2"/>
      <c r="D49" s="158" t="s">
        <v>699</v>
      </c>
      <c r="E49" s="159">
        <f t="shared" si="1"/>
        <v>2121782887.634825</v>
      </c>
      <c r="F49" s="160">
        <f t="shared" si="2"/>
        <v>2477323877.2654982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1.25" customHeight="1">
      <c r="A50" s="2"/>
      <c r="B50" s="110"/>
      <c r="C50" s="110"/>
      <c r="D50" s="161" t="s">
        <v>535</v>
      </c>
      <c r="E50" s="162">
        <f t="shared" ref="E50:F50" si="3">SUM(E47:E49)</f>
        <v>39415651869.584572</v>
      </c>
      <c r="F50" s="162">
        <f t="shared" si="3"/>
        <v>46791822341.864159</v>
      </c>
      <c r="G50" s="110"/>
      <c r="H50" s="110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1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1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1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1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1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1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1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1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1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7">
    <mergeCell ref="D19:F19"/>
    <mergeCell ref="D20:F20"/>
    <mergeCell ref="B2:H2"/>
    <mergeCell ref="B3:H3"/>
    <mergeCell ref="B4:H4"/>
    <mergeCell ref="B6:C6"/>
    <mergeCell ref="D18:F18"/>
  </mergeCells>
  <printOptions horizontalCentered="1"/>
  <pageMargins left="0.70866141732283472" right="0.70866141732283472" top="0.74803149606299213" bottom="0.74803149606299213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A Consol. Monac</vt:lpstr>
      <vt:lpstr>A.1 Ing Gen desg. Consolidado</vt:lpstr>
      <vt:lpstr>C Gts Gen desg. Consolidado</vt:lpstr>
      <vt:lpstr>VII A. Resumen Deuda</vt:lpstr>
      <vt:lpstr>Resumen Inversiones</vt:lpstr>
      <vt:lpstr>VII B.1 E° Comp D Pub Dir Int</vt:lpstr>
      <vt:lpstr>VII B.2 E° Comp D Pub Ind Int</vt:lpstr>
      <vt:lpstr>VII C.1 Comp D Pub Dir Ext Acr </vt:lpstr>
      <vt:lpstr>VII C.2 Comp D Pub Dir Ext Geo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Jorquera Caicheo, Jacqueline Paulina</dc:creator>
  <cp:lastModifiedBy>Hicil Montecinos, Raul Ismael</cp:lastModifiedBy>
  <dcterms:created xsi:type="dcterms:W3CDTF">2024-12-18T19:32:25Z</dcterms:created>
  <dcterms:modified xsi:type="dcterms:W3CDTF">2025-11-10T19:49:26Z</dcterms:modified>
</cp:coreProperties>
</file>